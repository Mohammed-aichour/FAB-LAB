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Sommaire" sheetId="1" r:id="rId5"/>
    <sheet state="visible" name="01_Legende_Methode" sheetId="2" r:id="rId6"/>
    <sheet state="visible" name="02_Arborescence_Reelle" sheetId="3" r:id="rId7"/>
    <sheet state="visible" name="03_Equipements_Reference" sheetId="4" r:id="rId8"/>
    <sheet state="visible" name="04_Criticite" sheetId="5" r:id="rId9"/>
    <sheet state="visible" name="05_Plan_Maintenance_Preventive" sheetId="6" r:id="rId10"/>
    <sheet state="visible" name="06_Gammes_Entetes" sheetId="7" r:id="rId11"/>
    <sheet state="visible" name="07_Gammes_Etapes" sheetId="8" r:id="rId12"/>
    <sheet state="visible" name="08_Fiche_Entretien_Outillage" sheetId="9" r:id="rId13"/>
    <sheet state="visible" name="09_Points_Action" sheetId="10" r:id="rId14"/>
  </sheets>
  <definedNames/>
  <calcPr/>
</workbook>
</file>

<file path=xl/sharedStrings.xml><?xml version="1.0" encoding="utf-8"?>
<sst xmlns="http://schemas.openxmlformats.org/spreadsheetml/2006/main" count="2572" uniqueCount="1382">
  <si>
    <t xml:space="preserve">DOSSIER Tableau de criticité (A-B-C) - Plan de maintenance préventive complet -  Gammes de maintenance illustrées - FABLAB UNIVERSIAPOLIS </t>
  </si>
  <si>
    <t>Onglet</t>
  </si>
  <si>
    <t>Contenu</t>
  </si>
  <si>
    <t>Public cible</t>
  </si>
  <si>
    <t>00_Sommaire</t>
  </si>
  <si>
    <t>Presentation du dossier et de la methode de reconciliation avec l'arborescence reelle.</t>
  </si>
  <si>
    <t>Tous</t>
  </si>
  <si>
    <t>01_Legende_Methode</t>
  </si>
  <si>
    <t>Methodologie de cotation de la criticite (AMDEC simplifiee), niveaux d'intervention NF X60-010, principe des 2 niveaux de traitement (machines complexes / outillage simple), dictionnaire des champs pour l'informaticien.</t>
  </si>
  <si>
    <t>Ingenieur informatique, responsable technique</t>
  </si>
  <si>
    <t>02_Arborescence_Reelle</t>
  </si>
  <si>
    <t>Arborescence complete des equipements du Fablab (69 articles = 67 existants + 2 nouveaux a confirmer), avec niveau de traitement GMAO applique a chacun.</t>
  </si>
  <si>
    <t>03_Equipements_Reference</t>
  </si>
  <si>
    <t>Fiche des 8 machines complexes retenues pour l'analyse AMDEC complete, avec correspondance au code d'arborescence reel (FL-xxx).</t>
  </si>
  <si>
    <t>Responsable technique, ingenieur informatique</t>
  </si>
  <si>
    <t>04_Criticite</t>
  </si>
  <si>
    <t>Analyse de criticite par sous-systeme pour les 8 machines complexes, classes A/B/C.</t>
  </si>
  <si>
    <t>Responsable technique</t>
  </si>
  <si>
    <t>05_Plan_Maintenance_Preventive</t>
  </si>
  <si>
    <t>Plan de maintenance preventive detaille (actions, frequences, niveaux d'intervenant, arret machine, outillage).</t>
  </si>
  <si>
    <t>Etudiants referents, responsable technique</t>
  </si>
  <si>
    <t>06_Gammes_Entetes</t>
  </si>
  <si>
    <t>Fiches d'en-tete des gammes de maintenance (reference, equipements concernes, EPI, outillage).</t>
  </si>
  <si>
    <t>Etudiants</t>
  </si>
  <si>
    <t>07_Gammes_Etapes</t>
  </si>
  <si>
    <t>Deroule pas-a-pas de chaque gamme (etapes, points de controle, criteres d'acceptation, securite).</t>
  </si>
  <si>
    <t>08_Fiche_Entretien_Outillage</t>
  </si>
  <si>
    <t>Fiche d'entretien simplifiee pour les ~60 outils portatifs, instruments et consommables (checklist courte, sans AMDEC).</t>
  </si>
  <si>
    <t>09_Points_Action</t>
  </si>
  <si>
    <t>Liste des ecarts constates entre le dossier initial et la realite du terrain, et des actions a mener (equipements a ajouter, a diagnostiquer, doublons, etats non renseignes).</t>
  </si>
  <si>
    <t>METHODOLOGIE ET REGLES DE GESTION</t>
  </si>
  <si>
    <t xml:space="preserve">0. Principe des 2 niveaux de traitement </t>
  </si>
  <si>
    <t>Tous les equipements du Fablab n'ont pas besoin du meme niveau d'analyse. Deux niveaux sont appliques selon la complexite et le risque de l'equipement :</t>
  </si>
  <si>
    <t>Niveau</t>
  </si>
  <si>
    <t>Equipements concernes</t>
  </si>
  <si>
    <t>Traitement applique</t>
  </si>
  <si>
    <t>Onglets</t>
  </si>
  <si>
    <t>Niveau 1 - Machine complexe</t>
  </si>
  <si>
    <t>8 machines a motorisation/electronique/laser significative (CNC, laser, imprimantes 3D)</t>
  </si>
  <si>
    <t>Analyse de criticite AMDEC complete (sous-systemes, IC=F*G*D, classe A/B/C), plan de maintenance preventive detaille, gammes pas-a-pas</t>
  </si>
  <si>
    <t>03, 04, 05, 06, 07</t>
  </si>
  <si>
    <t>Niveau 2 - Outillage / instrument / consommable</t>
  </si>
  <si>
    <t>~60 outils a main, instruments de mesure, consommables, quincaillerie, stocks</t>
  </si>
  <si>
    <t>Fiche d'entretien courte : action recommandee, frequence, niveau requis, point de vigilance - sans calcul d'indice de criticite</t>
  </si>
  <si>
    <t>08</t>
  </si>
  <si>
    <t>1. Methode de cotation de la criticite (AMDEC - inspiree ISO 14224 / ISO 55000)</t>
  </si>
  <si>
    <t>Chaque sous-systeme d'equipement de niveau 1 est cote selon 3 facteurs independants notes de 1 (faible) a 5 (fort). L'Indice de Criticite (IC) = Frequence (F) x Gravite (G) x Detectabilite (D). Plus l'indice est eleve, plus le sous-systeme doit etre surveille et faire l'objet d'une maintenance preventive renforcee.</t>
  </si>
  <si>
    <t>Note</t>
  </si>
  <si>
    <t>Frequence (F) - occurrence de la panne</t>
  </si>
  <si>
    <t>Gravite (G) - consequences de la panne</t>
  </si>
  <si>
    <t>Detectabilite (D) - capacite a detecter avant panne</t>
  </si>
  <si>
    <t>Tres rare (&gt; 2 ans)</t>
  </si>
  <si>
    <t>Negligeable, pas d'impact production/securite</t>
  </si>
  <si>
    <t>Detection evidente et immediate (alarme, arret automatique)</t>
  </si>
  <si>
    <t>Rare (annuelle)</t>
  </si>
  <si>
    <t>Mineure, gene legere, pas d'arret</t>
  </si>
  <si>
    <t>Detection facile lors des rondes/inspections regulieres</t>
  </si>
  <si>
    <t>Occasionnelle (semestrielle)</t>
  </si>
  <si>
    <t>Moyenne, arret partiel ou perte de precision</t>
  </si>
  <si>
    <t>Detection possible mais necessitant un controle specifique</t>
  </si>
  <si>
    <t>Frequente (mensuelle)</t>
  </si>
  <si>
    <t>Majeure, arret de la machine, cout de reparation eleve</t>
  </si>
  <si>
    <t>Difficilement detectable avant l'apparition de la panne</t>
  </si>
  <si>
    <t>Tres frequente (hebdomadaire ou a chaque usage)</t>
  </si>
  <si>
    <t>Critique : risque pour la securite des etudiants, arret prolonge du Fablab</t>
  </si>
  <si>
    <t>Non detectable / panne soudaine sans signe avant-coureur</t>
  </si>
  <si>
    <t>2. Classement en classes de criticite (seuils appliques dans l'onglet 04_Criticite)</t>
  </si>
  <si>
    <t>Classe</t>
  </si>
  <si>
    <t>Plage IC (F x G x D, max 125)</t>
  </si>
  <si>
    <t>Interpretation</t>
  </si>
  <si>
    <t>Strategie de maintenance</t>
  </si>
  <si>
    <t>A - Critique</t>
  </si>
  <si>
    <t>IC &gt;= 45</t>
  </si>
  <si>
    <t>Equipement/sous-systeme prioritaire : impact fort sur securite, production ou budget</t>
  </si>
  <si>
    <t>Preventive systematique renforcee + preventive conditionnelle (surveillance d'etat) ; a traiter en priorite 1</t>
  </si>
  <si>
    <t>B - Moyenne</t>
  </si>
  <si>
    <t>20 &lt;= IC &lt; 45</t>
  </si>
  <si>
    <t>A surveiller ; maintenance preventive planifiee standard</t>
  </si>
  <si>
    <t>Preventive systematique selon plan de maintenance</t>
  </si>
  <si>
    <t>C - Mineure</t>
  </si>
  <si>
    <t>IC &lt; 20</t>
  </si>
  <si>
    <t>Impact limite ; maintenance corrective acceptable si echec ponctuel</t>
  </si>
  <si>
    <t>Preventive de base (inspection visuelle) + corrective</t>
  </si>
  <si>
    <t>3. Niveaux d'intervention (norme NF X60-010) adaptes au contexte Fablab universitaire</t>
  </si>
  <si>
    <t>Definition norme NF X60-010</t>
  </si>
  <si>
    <t>Adaptation Fablab</t>
  </si>
  <si>
    <t>Habilitation requise</t>
  </si>
  <si>
    <t>N1</t>
  </si>
  <si>
    <t>Reglages simples prevus par le constructeur, sans demontage, a l'aide d'instructions</t>
  </si>
  <si>
    <t>Etudiant forme (utilisateur courant)</t>
  </si>
  <si>
    <t>Formation initiale a la machine (livret d'accueil Fablab)</t>
  </si>
  <si>
    <t>N2</t>
  </si>
  <si>
    <t>Depannage par echange standard, operations mineures de maintenance preventive (releves, controles de niveaux)</t>
  </si>
  <si>
    <t>Etudiant referent / moniteur Fablab</t>
  </si>
  <si>
    <t>Formation maintenance niveau 2 + validation responsable technique</t>
  </si>
  <si>
    <t>N3</t>
  </si>
  <si>
    <t>Identification et diagnostic de pannes, reparation par echange de composants, reparations mecaniques mineures</t>
  </si>
  <si>
    <t>Enseignant referent technique / technicien Fablab</t>
  </si>
  <si>
    <t>Competence technique confirmee, habilitation electrique si necessaire</t>
  </si>
  <si>
    <t>N4</t>
  </si>
  <si>
    <t>Travaux importants de maintenance corrective ou preventive, outillage specialise</t>
  </si>
  <si>
    <t>Prestataire externe specialise ou technicien qualifie</t>
  </si>
  <si>
    <t>Contrat de maintenance / intervention exterieure</t>
  </si>
  <si>
    <t>N5</t>
  </si>
  <si>
    <t>Travaux de renovation, reconstruction, confies au constructeur ou a son representant</t>
  </si>
  <si>
    <t>Constructeur / SAV fabricant</t>
  </si>
  <si>
    <t>Intervention constructeur uniquement</t>
  </si>
  <si>
    <t>4. Dictionnaire des champs - a l'attention de l'ingenieur informatique (mapping GMAO)</t>
  </si>
  <si>
    <t>Champ metier</t>
  </si>
  <si>
    <t>Table GMAO cible</t>
  </si>
  <si>
    <t>Type / format recommande</t>
  </si>
  <si>
    <t>Regle de gestion</t>
  </si>
  <si>
    <t>Code Arborescence (FL-xxx)</t>
  </si>
  <si>
    <t>EQUIPEMENT.id_equipement</t>
  </si>
  <si>
    <t>Texte, cle primaire</t>
  </si>
  <si>
    <t>Unique, correspond au code reel de l'arborescence Fablab ; non modifiable apres creation</t>
  </si>
  <si>
    <t>Code Eq. (EQ1..EQ8)</t>
  </si>
  <si>
    <t>EQUIPEMENT.code_reference_amdec</t>
  </si>
  <si>
    <t>Texte, cle etrangere optionnelle</t>
  </si>
  <si>
    <t>Utilise uniquement pour les 8 machines de niveau 1 (analyse AMDEC) ; permet de relier plusieurs FL-xxx a une meme fiche (ex. EQ7 = FL-003/004/005)</t>
  </si>
  <si>
    <t>Niveau de traitement (1=Machine complexe / 2=Outillage simple)</t>
  </si>
  <si>
    <t>EQUIPEMENT.niveau_traitement</t>
  </si>
  <si>
    <t>Enum (1,2)</t>
  </si>
  <si>
    <t>Determine si l'equipement possede une fiche de criticite (niveau 1) ou une fiche d'entretien simplifiee (niveau 2)</t>
  </si>
  <si>
    <t>Code Sous-systeme (MEC, AXE, ELC...)</t>
  </si>
  <si>
    <t>SOUS_SYSTEME.code</t>
  </si>
  <si>
    <t>Texte, cle etrangere vers EQUIPEMENT</t>
  </si>
  <si>
    <t>Un sous-systeme appartient a un seul equipement de niveau 1</t>
  </si>
  <si>
    <t>Indice de Criticite (IC)</t>
  </si>
  <si>
    <t>CRITICITE.indice_calcule</t>
  </si>
  <si>
    <t>Entier (1-125), champ calcule (F*G*D)</t>
  </si>
  <si>
    <t>Recalcule automatiquement si F, G ou D est modifie</t>
  </si>
  <si>
    <t>Classe de criticite (A/B/C)</t>
  </si>
  <si>
    <t>CRITICITE.classe</t>
  </si>
  <si>
    <t>Enum (A,B,C), champ calcule</t>
  </si>
  <si>
    <t>Regle : A si IC&gt;=45 ; B si 20&lt;=IC&lt;45 ; C si IC&lt;20</t>
  </si>
  <si>
    <t>Code Gamme (GMxx)</t>
  </si>
  <si>
    <t>GAMME.id_gamme</t>
  </si>
  <si>
    <t>Reference partagee entre plusieurs equipements / plans</t>
  </si>
  <si>
    <t>Niveau intervenant (N1-N5)</t>
  </si>
  <si>
    <t>GAMME.niveau_habilitation</t>
  </si>
  <si>
    <t>Enum (N1..N5)</t>
  </si>
  <si>
    <t>Determine les droits de cloture de l'OT dans l'appli</t>
  </si>
  <si>
    <t>Frequence de maintenance</t>
  </si>
  <si>
    <t>PLAN_PREVENTIF.frequence</t>
  </si>
  <si>
    <t>Texte normalise (ex : 7 jours, 1 mois, 500 h)</t>
  </si>
  <si>
    <t>Doit permettre le calcul automatique de la prochaine echeance (date ou compteur d'heures)</t>
  </si>
  <si>
    <t>Arret machine requis (Oui/Non)</t>
  </si>
  <si>
    <t>PLAN_PREVENTIF.arret_requis</t>
  </si>
  <si>
    <t>Booleen</t>
  </si>
  <si>
    <t>Si Oui : l'OT bloque la reservation Fablab sur le planning machine</t>
  </si>
  <si>
    <t>Statut d'inventaire (Operationnel / Hors service / Non renseigne / A confirmer)</t>
  </si>
  <si>
    <t>EQUIPEMENT.statut_inventaire</t>
  </si>
  <si>
    <t>Enum</t>
  </si>
  <si>
    <t>Reprend l'etat declare dans l'arborescence reelle ; un equipement Hors service ou Non renseigne doit etre traite via l'onglet 09_Points_Action avant activation du plan preventif</t>
  </si>
  <si>
    <t xml:space="preserve">ARBORESCENCE REELLE DES EQUIPEMENTS - FABLAB </t>
  </si>
  <si>
    <t>Base sur le registre v2 (67 articles, feuille Arborescence_Equipements_Fablab_v2) + 2 equipements reels ajoutes (FL-068, FL-069, en jaune) identifies dans le dossier de criticite mais absents de l'inventaire initial. Colonne 'Traitement GMAO' : 1 = machine complexe (analyse AMDEC, onglets 03-07), 2 = outillage/instrument/consommable (fiche simplifiee, onglet 08).</t>
  </si>
  <si>
    <t>Code arborescence</t>
  </si>
  <si>
    <t>Designation</t>
  </si>
  <si>
    <t>Description / Caracteristiques</t>
  </si>
  <si>
    <t>Quantite</t>
  </si>
  <si>
    <t>Etat</t>
  </si>
  <si>
    <t>Traitement GMAO</t>
  </si>
  <si>
    <t>Code EQ (AMDEC)</t>
  </si>
  <si>
    <t>FABLAB</t>
  </si>
  <si>
    <t>FABLAB (Site)</t>
  </si>
  <si>
    <t>Site</t>
  </si>
  <si>
    <t>FABLAB.ESP</t>
  </si>
  <si>
    <t>ESPACES (equipements fixes par zone)</t>
  </si>
  <si>
    <t>Type</t>
  </si>
  <si>
    <t>FABLAB.ESP.ELEC</t>
  </si>
  <si>
    <t>Espace Electronique</t>
  </si>
  <si>
    <t>Zone / Stock</t>
  </si>
  <si>
    <t>FABLAB.ESP.ELEC.MES</t>
  </si>
  <si>
    <t>Instruments de mesure</t>
  </si>
  <si>
    <t>Sous-categorie</t>
  </si>
  <si>
    <t>FL-038</t>
  </si>
  <si>
    <t>Oscilloscope numerique (Scope)</t>
  </si>
  <si>
    <t>Equipement</t>
  </si>
  <si>
    <t>Operationnel</t>
  </si>
  <si>
    <t>2</t>
  </si>
  <si>
    <t>FL-039</t>
  </si>
  <si>
    <t>Oscilloscope analogique (Scope)</t>
  </si>
  <si>
    <t>FL-040</t>
  </si>
  <si>
    <t>FL-041</t>
  </si>
  <si>
    <t>Balance avec affichage</t>
  </si>
  <si>
    <t>FL-042</t>
  </si>
  <si>
    <t>Balance</t>
  </si>
  <si>
    <t>FL-043</t>
  </si>
  <si>
    <t>Oscilloscope numerique</t>
  </si>
  <si>
    <t>DOX 2070B</t>
  </si>
  <si>
    <t>FABLAB.ESP.ELEC.INST</t>
  </si>
  <si>
    <t>Instruments electroniques</t>
  </si>
  <si>
    <t>FL-044</t>
  </si>
  <si>
    <t>Alimentation DC reglable</t>
  </si>
  <si>
    <t>Adjustable DC Power Supply</t>
  </si>
  <si>
    <t>FL-045</t>
  </si>
  <si>
    <t>Generateur de signaux basse frequence</t>
  </si>
  <si>
    <t>FABLAB.ESP.ELEC.EQP</t>
  </si>
  <si>
    <t>Equipement electronique</t>
  </si>
  <si>
    <t>FL-046</t>
  </si>
  <si>
    <t>Station de reprise a air chaud</t>
  </si>
  <si>
    <t>Rework soldering</t>
  </si>
  <si>
    <t>FABLAB.ESP.ELEC.SOU</t>
  </si>
  <si>
    <t>Materiel de soudure</t>
  </si>
  <si>
    <t>FL-048</t>
  </si>
  <si>
    <t>Station de reprise</t>
  </si>
  <si>
    <t>FL-049</t>
  </si>
  <si>
    <t>Station de soudage</t>
  </si>
  <si>
    <t>ZD-929B</t>
  </si>
  <si>
    <t>FABLAB.ESP.ELEC.ALIM</t>
  </si>
  <si>
    <t>Alimentation &amp; distribution</t>
  </si>
  <si>
    <t>FL-002</t>
  </si>
  <si>
    <t>Alimentation de laboratoire stabilisee</t>
  </si>
  <si>
    <t>FABLAB.ESP.PROTO</t>
  </si>
  <si>
    <t>Espace Prototypage</t>
  </si>
  <si>
    <t>FABLAB.ESP.PROTO.LAS</t>
  </si>
  <si>
    <t>Decoupe laser</t>
  </si>
  <si>
    <t>FL-007</t>
  </si>
  <si>
    <t>Machine de decoupe laser</t>
  </si>
  <si>
    <t>Fabricant PIPROD</t>
  </si>
  <si>
    <t>Hors service</t>
  </si>
  <si>
    <t>1</t>
  </si>
  <si>
    <t>EQ4a</t>
  </si>
  <si>
    <t>FL-008</t>
  </si>
  <si>
    <t>Machine WC 3000 (decoupe laser)</t>
  </si>
  <si>
    <t>Non renseigne</t>
  </si>
  <si>
    <t>EQ4b</t>
  </si>
  <si>
    <t>FABLAB.ESP.PROTO.CNC</t>
  </si>
  <si>
    <t>Decoupe / Usinage CNC</t>
  </si>
  <si>
    <t>FL-009</t>
  </si>
  <si>
    <t>Fraiseuse CNC (TPROD 6060)</t>
  </si>
  <si>
    <t>EQ2</t>
  </si>
  <si>
    <t>FL-010</t>
  </si>
  <si>
    <t>Perceuse/Fraiseuse CNC (Technodrill 3)</t>
  </si>
  <si>
    <t>EQ1</t>
  </si>
  <si>
    <t>FABLAB.ESP.PROTO.FAC</t>
  </si>
  <si>
    <t>Faconnage</t>
  </si>
  <si>
    <t>FL-011</t>
  </si>
  <si>
    <t>Plieuse de plexiglas</t>
  </si>
  <si>
    <t>FABLAB.ESP.PROTO.ATE</t>
  </si>
  <si>
    <t>Equipement atelier</t>
  </si>
  <si>
    <t>FL-012</t>
  </si>
  <si>
    <t>Compresseur</t>
  </si>
  <si>
    <t>8 bars</t>
  </si>
  <si>
    <t>FL-013</t>
  </si>
  <si>
    <t>Aspirateur de poussiere</t>
  </si>
  <si>
    <t>FL-014</t>
  </si>
  <si>
    <t>Pulverisateur electrique</t>
  </si>
  <si>
    <t>FL-015</t>
  </si>
  <si>
    <t>Pompe a eau</t>
  </si>
  <si>
    <t>KNF</t>
  </si>
  <si>
    <t>FL-016</t>
  </si>
  <si>
    <t>Machine a air chaud</t>
  </si>
  <si>
    <t>FABLAB.ESP.PROTO.OUT</t>
  </si>
  <si>
    <t>Outillage atelier (fixe)</t>
  </si>
  <si>
    <t>FL-017</t>
  </si>
  <si>
    <t>Perceuse a colonne</t>
  </si>
  <si>
    <t>FABLAB.ESP.IMP3D</t>
  </si>
  <si>
    <t>Espace Impression 3D</t>
  </si>
  <si>
    <t>FABLAB.ESP.IMP3D.PRN</t>
  </si>
  <si>
    <t>Imprimantes 3D</t>
  </si>
  <si>
    <t>FL-003</t>
  </si>
  <si>
    <t>Imprimante 3D FDM</t>
  </si>
  <si>
    <t>Shenzhen Creality 3D Technology</t>
  </si>
  <si>
    <t>EQ7</t>
  </si>
  <si>
    <t>FL-004</t>
  </si>
  <si>
    <t>FL-005</t>
  </si>
  <si>
    <t>FL-006</t>
  </si>
  <si>
    <t>Imprimante 3D resine</t>
  </si>
  <si>
    <t>Photocentric</t>
  </si>
  <si>
    <t>EQ6</t>
  </si>
  <si>
    <t>FL-068</t>
  </si>
  <si>
    <t>Imprimante 3D FFF IDEX Raise3D E2CF</t>
  </si>
  <si>
    <t>A confirmer</t>
  </si>
  <si>
    <t>EQ3</t>
  </si>
  <si>
    <t>FABLAB.ESP.IMP3D.SCA</t>
  </si>
  <si>
    <t>Scan 3D</t>
  </si>
  <si>
    <t>FL-047</t>
  </si>
  <si>
    <t>Appareil photo / scanner 3D</t>
  </si>
  <si>
    <t>FABLAB.ESP.IMP3D_IND</t>
  </si>
  <si>
    <t>Espace Impression 3D industrielle</t>
  </si>
  <si>
    <t>FL-069</t>
  </si>
  <si>
    <t>Imprimante 3D industrielle FDM/FFF (enceinte fermee)</t>
  </si>
  <si>
    <t>EQ5</t>
  </si>
  <si>
    <t>FABLAB.ESP.EXPO</t>
  </si>
  <si>
    <t>Espace Exposition</t>
  </si>
  <si>
    <t>FABLAB.ESP.EXPO.PROTO</t>
  </si>
  <si>
    <t>Prototype pedagogique</t>
  </si>
  <si>
    <t>FL-066</t>
  </si>
  <si>
    <t>Prototype Shell Eco-marathon 2015</t>
  </si>
  <si>
    <t>FABLAB.STK</t>
  </si>
  <si>
    <t>STOCKS (consommables &amp; outillage portatif)</t>
  </si>
  <si>
    <t>FABLAB.STK.ELEC</t>
  </si>
  <si>
    <t>Stock Electronique</t>
  </si>
  <si>
    <t>FABLAB.STK.ELEC.CONS</t>
  </si>
  <si>
    <t>Consommable electrique</t>
  </si>
  <si>
    <t>FL-061</t>
  </si>
  <si>
    <t>Coffret de gaine thermoretractable</t>
  </si>
  <si>
    <t>FABLAB.STK.USI</t>
  </si>
  <si>
    <t>Stock Usinage</t>
  </si>
  <si>
    <t>FABLAB.STK.USI.QUI</t>
  </si>
  <si>
    <t>Quincaillerie / Visserie</t>
  </si>
  <si>
    <t>FL-062</t>
  </si>
  <si>
    <t>Tirefonds</t>
  </si>
  <si>
    <t>Tete hexagonale</t>
  </si>
  <si>
    <t>FL-063</t>
  </si>
  <si>
    <t>Vis a metaux</t>
  </si>
  <si>
    <t>Tete fraisee</t>
  </si>
  <si>
    <t>FL-064</t>
  </si>
  <si>
    <t>Vis CHC</t>
  </si>
  <si>
    <t>Tete cylindrique</t>
  </si>
  <si>
    <t>FL-065</t>
  </si>
  <si>
    <t>Pointe ordinaire</t>
  </si>
  <si>
    <t>FABLAB.STK.FAB</t>
  </si>
  <si>
    <t>Stock Fabrication additive</t>
  </si>
  <si>
    <t>FABLAB.STK.FAB.FIL</t>
  </si>
  <si>
    <t>Filaments</t>
  </si>
  <si>
    <t>FL-051</t>
  </si>
  <si>
    <t>Filament ABS</t>
  </si>
  <si>
    <t>Blanc</t>
  </si>
  <si>
    <t>FL-052</t>
  </si>
  <si>
    <t>Bleu</t>
  </si>
  <si>
    <t>FL-053</t>
  </si>
  <si>
    <t>Orange</t>
  </si>
  <si>
    <t>FL-054</t>
  </si>
  <si>
    <t>Noir</t>
  </si>
  <si>
    <t>FL-055</t>
  </si>
  <si>
    <t>Rouge</t>
  </si>
  <si>
    <t>FL-056</t>
  </si>
  <si>
    <t>Gris</t>
  </si>
  <si>
    <t>FABLAB.STK.OUT</t>
  </si>
  <si>
    <t>Stock Outillage</t>
  </si>
  <si>
    <t>FABLAB.STK.OUT.MAN</t>
  </si>
  <si>
    <t>Outillage a main</t>
  </si>
  <si>
    <t>FL-018</t>
  </si>
  <si>
    <t>Scie a metaux</t>
  </si>
  <si>
    <t>FL-019</t>
  </si>
  <si>
    <t>Serre-joint a vis</t>
  </si>
  <si>
    <t>FL-020</t>
  </si>
  <si>
    <t>Pince a sertir modulaire</t>
  </si>
  <si>
    <t>FL-021</t>
  </si>
  <si>
    <t>Cle plate</t>
  </si>
  <si>
    <t>20/22</t>
  </si>
  <si>
    <t>FL-022</t>
  </si>
  <si>
    <t>16/17</t>
  </si>
  <si>
    <t>FL-023</t>
  </si>
  <si>
    <t>18/19</t>
  </si>
  <si>
    <t>FL-024</t>
  </si>
  <si>
    <t>17/16 (doublon probable avec FL-022 16/17 - a verifier, cf. 09_Points_Action)</t>
  </si>
  <si>
    <t>FL-025</t>
  </si>
  <si>
    <t>12/13</t>
  </si>
  <si>
    <t>FL-026</t>
  </si>
  <si>
    <t>Cle six pans</t>
  </si>
  <si>
    <t>10 mm - CR-V</t>
  </si>
  <si>
    <t>FL-027</t>
  </si>
  <si>
    <t>Equerre de menuisier</t>
  </si>
  <si>
    <t>FL-028</t>
  </si>
  <si>
    <t>Cle a molette</t>
  </si>
  <si>
    <t>150 mm (6 pouces)</t>
  </si>
  <si>
    <t>FL-029</t>
  </si>
  <si>
    <t>Tournevis standard</t>
  </si>
  <si>
    <t>FL-030</t>
  </si>
  <si>
    <t>Tournevis cruciforme</t>
  </si>
  <si>
    <t>FL-031</t>
  </si>
  <si>
    <t>Paire de ciseaux</t>
  </si>
  <si>
    <t>FL-032</t>
  </si>
  <si>
    <t>Pince a denuder automatique</t>
  </si>
  <si>
    <t>FL-033</t>
  </si>
  <si>
    <t>Pince coupante et pince a rasant</t>
  </si>
  <si>
    <t>FL-034</t>
  </si>
  <si>
    <t>Pinceau plastique</t>
  </si>
  <si>
    <t>FL-035</t>
  </si>
  <si>
    <t>Pompe a dessouder</t>
  </si>
  <si>
    <t>FABLAB.STK.OUT.COU</t>
  </si>
  <si>
    <t>Outils de coupe et de meulage</t>
  </si>
  <si>
    <t>FL-036</t>
  </si>
  <si>
    <t>Meuleuse d'angle</t>
  </si>
  <si>
    <t>FL-037</t>
  </si>
  <si>
    <t>Mini perceuse</t>
  </si>
  <si>
    <t>CT13428</t>
  </si>
  <si>
    <t>FABLAB.STK.FIN</t>
  </si>
  <si>
    <t>Stock Finition</t>
  </si>
  <si>
    <t>FABLAB.STK.FIN.PEI</t>
  </si>
  <si>
    <t>Consommables de finition</t>
  </si>
  <si>
    <t>FL-057</t>
  </si>
  <si>
    <t>Bombe de peinture aerosol</t>
  </si>
  <si>
    <t>Noir mat</t>
  </si>
  <si>
    <t>FL-058</t>
  </si>
  <si>
    <t>FL-059</t>
  </si>
  <si>
    <t>Beige</t>
  </si>
  <si>
    <t>FL-060</t>
  </si>
  <si>
    <t>FABLAB.INF</t>
  </si>
  <si>
    <t>INFRASTRUCTURE GENERALE (transverse)</t>
  </si>
  <si>
    <t>FABLAB.INF.ELEC</t>
  </si>
  <si>
    <t>Equipement electrique</t>
  </si>
  <si>
    <t>FL-001</t>
  </si>
  <si>
    <t>Armoire electrique</t>
  </si>
  <si>
    <t>FABLAB.INF.HYG</t>
  </si>
  <si>
    <t>Hygiene / Consommable</t>
  </si>
  <si>
    <t>FL-050</t>
  </si>
  <si>
    <t>Distributeur de gel desinfectant</t>
  </si>
  <si>
    <t>FABLAB.NC</t>
  </si>
  <si>
    <t>NON CLASSE / A IDENTIFIER</t>
  </si>
  <si>
    <t>FABLAB.NC.ID</t>
  </si>
  <si>
    <t>Equipement non identifie</t>
  </si>
  <si>
    <t>FL-067</t>
  </si>
  <si>
    <t>Intertek</t>
  </si>
  <si>
    <t>Nature de l'equipement non identifiee - a identifier avant classement, cf. 09_Points_Action</t>
  </si>
  <si>
    <t>TOTAL GENERAL DES EQUIPEMENTS DU FABLAB (quantite)</t>
  </si>
  <si>
    <t>NOMBRE TOTAL D'ARTICLES REFERENCES (FL-xxx)</t>
  </si>
  <si>
    <t>dont equipements nouveaux ajoutes (a confirmer)</t>
  </si>
  <si>
    <t>dont equipements hors service</t>
  </si>
  <si>
    <t>dont etat non renseigne (a controler)</t>
  </si>
  <si>
    <t>REFERENTIEL DES MACHINES COMPLEXES (niveau 1 - analyse AMDEC)</t>
  </si>
  <si>
    <t>8 machines retenues pour l'analyse de criticite complete, rattachees a leur(s) code(s) d'arborescence reel(s) FL-xxx. 3 machines etaient deja couvertes par le dossier initial (EQ1, EQ2 - correspondance directe) ; 5 sont nouvelles ou reconciliees dans cette revision.</t>
  </si>
  <si>
    <t>Code Eq.</t>
  </si>
  <si>
    <t>Code arborescence (FL)</t>
  </si>
  <si>
    <t>Reference / Modele</t>
  </si>
  <si>
    <t>Fabricant</t>
  </si>
  <si>
    <t>Caracteristiques principales</t>
  </si>
  <si>
    <t>Localisation Fablab</t>
  </si>
  <si>
    <t>Logiciel de pilotage</t>
  </si>
  <si>
    <t>Statut / Commentaire de reconciliation</t>
  </si>
  <si>
    <t>Perceuse / Fraiseuse CNC (Technodrill 3)</t>
  </si>
  <si>
    <t>Technodrill 3 (proche C11 000 / C11 020)</t>
  </si>
  <si>
    <t>C.I.F - Circuit Imprime Francais</t>
  </si>
  <si>
    <t>Broche 900 W, 8 000-26 000 tr/min, masse 64 kg, precision prototypage circuits imprimes</t>
  </si>
  <si>
    <t>Espace Prototypage - Decoupe/Usinage CNC</t>
  </si>
  <si>
    <t>GALAAD 3</t>
  </si>
  <si>
    <t>Operationnel - correspondance directe avec le dossier de criticite initial (EQ1)</t>
  </si>
  <si>
    <t>Fraiseuse CNC TPROD 6060</t>
  </si>
  <si>
    <t>TPROD-6060</t>
  </si>
  <si>
    <t>PIPROD</t>
  </si>
  <si>
    <t>Surface XY 600x600 mm, axe Z 100 mm, precision +/-0,02 mm, broche 1,5-2,2 kW / 0-24000 tr/min</t>
  </si>
  <si>
    <t>MACH3 / GRBL / LinuxCNC</t>
  </si>
  <si>
    <t>Operationnel - correspondance directe avec le dossier de criticite initial (EQ2)</t>
  </si>
  <si>
    <t>Imprimante 3D FFF IDEX Raise3D</t>
  </si>
  <si>
    <t>FL-068 (NOUVEAU)</t>
  </si>
  <si>
    <t>E2CF</t>
  </si>
  <si>
    <t>Raise3D Technologies</t>
  </si>
  <si>
    <t>Volume 330x240x240 mm (mono) / 295x240x240 mm (dual), buse SiC, materiaux composites fibres carbone, T buse 300 C</t>
  </si>
  <si>
    <t>ideaMaker / RaiseCloud</t>
  </si>
  <si>
    <t>A confirmer - machine absente du registre v2, ajoutee sur decision du 21/07/2026 ; a valider a reception/verification physique</t>
  </si>
  <si>
    <t>-</t>
  </si>
  <si>
    <t>Laser CO2 (puissance et modele exacts a confirmer sur plaque constructeur)</t>
  </si>
  <si>
    <t>Espace Prototypage - Decoupe laser</t>
  </si>
  <si>
    <t>Hors service - profil de criticite distinct du EQ4b ; diagnostic et remise en service a planifier avant activation du plan preventif</t>
  </si>
  <si>
    <t>WC 3000</t>
  </si>
  <si>
    <t>Non renseigne - profil de criticite distinct du EQ4a ; controle immediat de l'etat requis (cf. 09_Points_Action)</t>
  </si>
  <si>
    <t>FL-069 (NOUVEAU)</t>
  </si>
  <si>
    <t>IMP3D-FDF-2024</t>
  </si>
  <si>
    <t>NATO SPS - Universiapolis</t>
  </si>
  <si>
    <t>T buse max 300 C, T plateau max 110 C, precision +/-0,05 mm, financement NATO SPS</t>
  </si>
  <si>
    <t>Firmware Marlin/Klipper</t>
  </si>
  <si>
    <t>Technologie a photopolymerisation resine (DLP/LCD - a confirmer), cuve et ecran/source UV</t>
  </si>
  <si>
    <t>Logiciel constructeur Photocentric</t>
  </si>
  <si>
    <t>Operationnel - equipement existant, nouveau profil de criticite (technologie resine differente des imprimantes FFF deja analysees)</t>
  </si>
  <si>
    <t>Imprimantes 3D FDM (groupe de 3)</t>
  </si>
  <si>
    <t>FL-003, FL-004, FL-005</t>
  </si>
  <si>
    <t>Imprimantes FDM standard, memes caracteristiques generales</t>
  </si>
  <si>
    <t>Logiciel constructeur</t>
  </si>
  <si>
    <t>Hors service (x3) - equipements existants, nouveau profil de criticite ; decision a prendre : reparer ou reformer (cf. 09_Points_Action)</t>
  </si>
  <si>
    <t>ANALYSE DE CRITICITE PAR SOUS-SYSTEME - 8 MACHINES COMPLEXES</t>
  </si>
  <si>
    <t>IC = F x G x D (formules Excel, recalcul automatique). Classe : A si IC&gt;=45, B si 20&lt;=IC&lt;45, C si IC&lt;20 (cf. 01_Legende_Methode). Lignes en jaune : sous-systemes lies a un equipement nouveau ou a un diagnostic prealable requis.</t>
  </si>
  <si>
    <t>Code S-Sys</t>
  </si>
  <si>
    <t>Sous-systeme</t>
  </si>
  <si>
    <t>Mode de defaillance principal (exemple representatif)</t>
  </si>
  <si>
    <t>F (1-5)</t>
  </si>
  <si>
    <t>G (1-5)</t>
  </si>
  <si>
    <t>D (1-5)</t>
  </si>
  <si>
    <t>IC = F x G x D</t>
  </si>
  <si>
    <t>Strategie de maintenance recommandee</t>
  </si>
  <si>
    <t>Niveau intervenant (NF X60-010)</t>
  </si>
  <si>
    <t>Impact arret Fablab</t>
  </si>
  <si>
    <t>Justification / commentaire</t>
  </si>
  <si>
    <t>TECHNODRILL (FL-010)</t>
  </si>
  <si>
    <t>MEC</t>
  </si>
  <si>
    <t>Structure mecanique</t>
  </si>
  <si>
    <t>Fissure/usure plateau martyr, desalignement du bridage</t>
  </si>
  <si>
    <t>Preventive de base (inspection visuelle)</t>
  </si>
  <si>
    <t>Non</t>
  </si>
  <si>
    <t>Usure lente, sans risque, plateau martyr remplacable facilement par l'etudiant</t>
  </si>
  <si>
    <t>AXE</t>
  </si>
  <si>
    <t>Axes et guidage (vis a billes X/Y/Z)</t>
  </si>
  <si>
    <t>Usure/jeu des vis a billes ou guidages -&gt; perte de precision de percage</t>
  </si>
  <si>
    <t>Preventive systematique (lubrification, controle de jeu)</t>
  </si>
  <si>
    <t>Partiel</t>
  </si>
  <si>
    <t>Impacte directement la qualite des circuits imprimes perces</t>
  </si>
  <si>
    <t>MOT</t>
  </si>
  <si>
    <t>Motorisation pas a pas</t>
  </si>
  <si>
    <t>Pas moteur perdus, echauffement bobinage</t>
  </si>
  <si>
    <t>Preventive systematique (controle cablage/temperature)</t>
  </si>
  <si>
    <t>Panne generalement precedee de bruits/vibrations anormales</t>
  </si>
  <si>
    <t>BRO</t>
  </si>
  <si>
    <t>Broche et outillage (900 W)</t>
  </si>
  <si>
    <t>Usure roulements, echauffement, casse de mandrin/pince en usage etudiant intensif</t>
  </si>
  <si>
    <t>Preventive systematique renforcee + conditionnelle (vibratoire/thermique)</t>
  </si>
  <si>
    <t>Oui</t>
  </si>
  <si>
    <t>Composant le plus sollicite par un usage etudiant frequent ; consommable critique du parc</t>
  </si>
  <si>
    <t>ELC</t>
  </si>
  <si>
    <t>Electronique / commande (CPU, arret d'urgence)</t>
  </si>
  <si>
    <t>Panne carte CPU/alimentation, defaut du circuit d'arret d'urgence</t>
  </si>
  <si>
    <t>Preventive systematique + test de securite periodique obligatoire</t>
  </si>
  <si>
    <t>Fonction de securite (arret d'urgence) : gravite maximale meme si frequence faible</t>
  </si>
  <si>
    <t>LOG</t>
  </si>
  <si>
    <t>Logiciel GALAAD 3</t>
  </si>
  <si>
    <t>Corruption de parametres machine, incompatibilite de fichier importe</t>
  </si>
  <si>
    <t>Preventive systematique (sauvegardes) + corrective</t>
  </si>
  <si>
    <t>Restauration rapide possible via sauvegarde des parametres</t>
  </si>
  <si>
    <t>TPROD 6060 (FL-009)</t>
  </si>
  <si>
    <t>Desalignement portique/colonne, usure pieds de niveau</t>
  </si>
  <si>
    <t>Chassis acier soude robuste, usure tres lente</t>
  </si>
  <si>
    <t>Axes et guidage</t>
  </si>
  <si>
    <t>Usure rails/vis a billes, jeu -&gt; perte de precision +/-0,02 mm</t>
  </si>
  <si>
    <t>Preventive systematique (lubrification, controle jeu)</t>
  </si>
  <si>
    <t>Precision annoncee du constructeur directement dependante de l'etat des axes</t>
  </si>
  <si>
    <t>Motorisation NEMA23</t>
  </si>
  <si>
    <t>Pas perdus, echauffement driver micro-pas</t>
  </si>
  <si>
    <t>Preventive systematique</t>
  </si>
  <si>
    <t>Detectable par ecarts de cotes sur pieces usinees</t>
  </si>
  <si>
    <t>Broche d'usinage (1,5-2,2 kW, VFD)</t>
  </si>
  <si>
    <t>Defaut variateur (codes erreur), usure pince ER, jeu roulements</t>
  </si>
  <si>
    <t>Preventive systematique renforcee + conditionnelle (bruit/vibration)</t>
  </si>
  <si>
    <t>Historique de codes erreur VFD frequents (E001/E004/E007/E009) : composant sensible</t>
  </si>
  <si>
    <t>Electronique / commande</t>
  </si>
  <si>
    <t>Panne controleur CNC, defaut arret d'urgence, boitier DSP</t>
  </si>
  <si>
    <t>Preventive systematique + test securite obligatoire</t>
  </si>
  <si>
    <t>Fonction de securite critique</t>
  </si>
  <si>
    <t>ASP</t>
  </si>
  <si>
    <t>Aspiration / Securite</t>
  </si>
  <si>
    <t>Colmatage filtre, tuyau perce -&gt; accumulation copeaux, risque echauffement</t>
  </si>
  <si>
    <t>Preventive systematique (nettoyage/controle regulier)</t>
  </si>
  <si>
    <t>Facilement detectable (encrassement visible) mais impact securite/incendie si neglige</t>
  </si>
  <si>
    <t>Logiciel MACH3/GRBL/LinuxCNC</t>
  </si>
  <si>
    <t>Perte de parametrage axes, post-processeur incompatible</t>
  </si>
  <si>
    <t>Preventive systematique (sauvegardes)</t>
  </si>
  <si>
    <t>Restauration rapide via sauvegarde</t>
  </si>
  <si>
    <t>LASER PIPROD (FL-007 - hors service)</t>
  </si>
  <si>
    <t>OPT</t>
  </si>
  <si>
    <t>Optique / Chemin laser</t>
  </si>
  <si>
    <t>Desalignement miroirs de renvoi, encrassement/rayure lentille de focalisation</t>
  </si>
  <si>
    <t>Preventive systematique renforcee (nettoyage/alignement)</t>
  </si>
  <si>
    <t>IC estime sur profil generique laser CO2 (machine actuellement hors service) - a reevaluer apres diagnostic de remise en service</t>
  </si>
  <si>
    <t>Panne alimentation HT, defaut controleur, arret d'urgence</t>
  </si>
  <si>
    <t>Haute tension : fonction de securite critique - a controler en priorite lors du diagnostic</t>
  </si>
  <si>
    <t>REF</t>
  </si>
  <si>
    <t>Refroidissement (chiller)</t>
  </si>
  <si>
    <t>Surchauffe tube CO2 par manque de debit/temperature eau du chiller</t>
  </si>
  <si>
    <t>Preventive systematique renforcee + capteur debit obligatoire</t>
  </si>
  <si>
    <t>Cause frequente de destruction du tube laser ; cause possible de la panne actuelle, a verifier en priorite</t>
  </si>
  <si>
    <t>Aspiration / Ventilation</t>
  </si>
  <si>
    <t>Colmatage filtre a charbon actif -&gt; exposition fumees/COV toxiques</t>
  </si>
  <si>
    <t>Preventive systematique renforcee (controle sante/securite)</t>
  </si>
  <si>
    <t>Risque sanitaire direct pour les etudiants si extraction insuffisante</t>
  </si>
  <si>
    <t>DIAG</t>
  </si>
  <si>
    <t>Diagnostic de panne (etat hors service)</t>
  </si>
  <si>
    <t>Cause de la panne non documentee</t>
  </si>
  <si>
    <t>Diagnostic complet obligatoire avant toute remise en service</t>
  </si>
  <si>
    <t>Machine declaree hors service dans l'arborescence reelle sans cause connue - priorite 1 avant toute activation du plan preventif, cf. 09_Points_Action</t>
  </si>
  <si>
    <t>LASER WC 3000 (FL-008 - etat non renseigne)</t>
  </si>
  <si>
    <t>IC estime sur profil generique laser CO2 (etat physique non verifie) - a reevaluer apres controle initial</t>
  </si>
  <si>
    <t>Haute tension : fonction de securite critique - a controler en priorite</t>
  </si>
  <si>
    <t>Cause frequente de destruction du tube laser</t>
  </si>
  <si>
    <t>CTRL</t>
  </si>
  <si>
    <t>Controle initial d'etat (etat non renseigne)</t>
  </si>
  <si>
    <t>Etat de fonctionnement inconnu</t>
  </si>
  <si>
    <t>Controle physique complet obligatoire avant toute utilisation etudiante</t>
  </si>
  <si>
    <t>Aucune information d'etat dans l'arborescence reelle - a verifier en priorite, cf. 09_Points_Action</t>
  </si>
  <si>
    <t>RAISE3D E2CF (FL-068 - a confirmer)</t>
  </si>
  <si>
    <t>Usure pieds antivibration, encrassement filtre HEPA integre</t>
  </si>
  <si>
    <t>Preventive de base</t>
  </si>
  <si>
    <t>Chassis alu tout-metal tres robuste - IC a valider a reception de la machine</t>
  </si>
  <si>
    <t>EXT</t>
  </si>
  <si>
    <t>Extrusion / Tetes IDEX</t>
  </si>
  <si>
    <t>Colmatage buse SiC, usure engrenages dual-drive, derive hotend</t>
  </si>
  <si>
    <t>Preventive systematique (nettoyage/remplacement buse)</t>
  </si>
  <si>
    <t>Composant consommable a forte frequence d'usage etudiant</t>
  </si>
  <si>
    <t>Usure courroies GT2/rails, perte de synchronisation IDEX</t>
  </si>
  <si>
    <t>Impacte l'alignement des deux tetes IDEX</t>
  </si>
  <si>
    <t>PLT</t>
  </si>
  <si>
    <t>Plateau chauffant</t>
  </si>
  <si>
    <t>Derive thermistance, perte d'adherence plateau BuildTak</t>
  </si>
  <si>
    <t>Preventive systematique (etalonnage nivellement)</t>
  </si>
  <si>
    <t>Nivellement automatique limite l'impact mais derive capteur possible</t>
  </si>
  <si>
    <t>Panne carte mere, alimentation 24V/350W, ecran RaiseTouch</t>
  </si>
  <si>
    <t>Preventive systematique (controle tension/connectique)</t>
  </si>
  <si>
    <t>Coeur de pilotage : panne bloquante pour toute la machine</t>
  </si>
  <si>
    <t>SEC</t>
  </si>
  <si>
    <t>Securite / Capteurs</t>
  </si>
  <si>
    <t>Defaut capteur fin de filament, capteur optique nivellement, reprise apres coupure</t>
  </si>
  <si>
    <t>Preventive systematique + test fonctionnel</t>
  </si>
  <si>
    <t>Detection possible via auto-test au demarrage</t>
  </si>
  <si>
    <t>FIL</t>
  </si>
  <si>
    <t>Filaments / Boites seches</t>
  </si>
  <si>
    <t>Humidite filament composite (CF) -&gt; casse fibre, degradation qualite piece</t>
  </si>
  <si>
    <t>Preventive systematique (gel silice, etancheite)</t>
  </si>
  <si>
    <t>Filaments techniques CF tres sensibles a l'humidite, cout matiere eleve</t>
  </si>
  <si>
    <t>Logiciel ideaMaker / RaiseCloud</t>
  </si>
  <si>
    <t>Profil materiau errone, firmware obsolete</t>
  </si>
  <si>
    <t>Preventive systematique (mises a jour)</t>
  </si>
  <si>
    <t>Mises a jour disponibles regulierement par l'editeur</t>
  </si>
  <si>
    <t>IMPRIMANTE RESINE PHOTOCENTRIC (FL-006)</t>
  </si>
  <si>
    <t>Structure mecanique / capot</t>
  </si>
  <si>
    <t>Usure charnieres du capot, jeu du chassis</t>
  </si>
  <si>
    <t>Estimation initiale (nouveau profil) - a ajuster apres retour d'experience d'usage</t>
  </si>
  <si>
    <t>CUV</t>
  </si>
  <si>
    <t>Cuve resine / film FEP</t>
  </si>
  <si>
    <t>Rayure ou percement du film FEP, contamination de la resine</t>
  </si>
  <si>
    <t>Preventive systematique (inspection/remplacement film FEP)</t>
  </si>
  <si>
    <t>Consommable a forte frequence d'usage, impact direct sur la qualite des pieces</t>
  </si>
  <si>
    <t>UV</t>
  </si>
  <si>
    <t>Source UV / ecran (DLP/LCD)</t>
  </si>
  <si>
    <t>Perte d'intensite ou de linearite de la source UV, defaut d'ecran</t>
  </si>
  <si>
    <t>Preventive systematique (controle intensite, nettoyage optique)</t>
  </si>
  <si>
    <t>Coeur du procede de photopolymerisation : panne bloquante pour toute impression</t>
  </si>
  <si>
    <t>Axe Z</t>
  </si>
  <si>
    <t>Usure vis/guidage, perte de precision de couche</t>
  </si>
  <si>
    <t>Impacte directement la qualite dimensionnelle des pieces</t>
  </si>
  <si>
    <t>Securite / Ventilation / Exposition resine</t>
  </si>
  <si>
    <t>Exposition aux vapeurs de resine (COV), contact cutane accidentel</t>
  </si>
  <si>
    <t>Preventive systematique renforcee (controle ventilation, EPI obligatoires)</t>
  </si>
  <si>
    <t>Risque sanitaire direct pour les etudiants (COV, irritation cutanee) - point de vigilance majeur en usage etudiant</t>
  </si>
  <si>
    <t>Profil materiau errone, fichier de tranchage corrompu</t>
  </si>
  <si>
    <t>Preventive systematique (sauvegardes, mises a jour)</t>
  </si>
  <si>
    <t>IMPRIMANTES FDM CREALITY x3 (FL-003/004/005 - hors service)</t>
  </si>
  <si>
    <t>Structure mecanique / chassis</t>
  </si>
  <si>
    <t>Deformation chassis, jeu des axes</t>
  </si>
  <si>
    <t>Estimation initiale (nouveau profil, machines groupees) - a ajuster apres diagnostic individuel</t>
  </si>
  <si>
    <t>Extrusion / Hotend</t>
  </si>
  <si>
    <t>Colmatage buse, usure du tube PTFE, derive thermique</t>
  </si>
  <si>
    <t>Cause de panne la plus frequente sur ce type d'imprimante d'entree de gamme</t>
  </si>
  <si>
    <t>Axes et courroies</t>
  </si>
  <si>
    <t>Usure courroies GT2, jeu des rails/tiges lisses</t>
  </si>
  <si>
    <t>Detectable par defauts d'impression (decalage de couches)</t>
  </si>
  <si>
    <t>Derive thermistance, perte d'adherence</t>
  </si>
  <si>
    <t>Preventive systematique (nivellement manuel)</t>
  </si>
  <si>
    <t>Impacte l'adherence de la premiere couche</t>
  </si>
  <si>
    <t>Panne carte mere, alimentation, driver moteur</t>
  </si>
  <si>
    <t>Preventive systematique (controle connectique)</t>
  </si>
  <si>
    <t>Coeur de pilotage machine ; panne suspectee cause probable de l'arret actuel</t>
  </si>
  <si>
    <t>Cause de la panne non documentee pour les 3 unites</t>
  </si>
  <si>
    <t>Diagnostic individuel obligatoire avant toute remise en service</t>
  </si>
  <si>
    <t>3 machines declarees hors service sans cause connue - decision reparer/reformer a prendre, cf. 09_Points_Action</t>
  </si>
  <si>
    <t>Firmware obsolete, profil materiau errone</t>
  </si>
  <si>
    <t>Restauration rapide possible via mise a jour firmware</t>
  </si>
  <si>
    <t>IMP3D INDUSTRIELLE NATO SPS (FL-069 - a confirmer)</t>
  </si>
  <si>
    <t>Desserrage equerrage chassis apres transport/usage intensif</t>
  </si>
  <si>
    <t>Preventive systematique (controle equerrage)</t>
  </si>
  <si>
    <t>Rigidite structurelle impacte directement la precision +/-0,05 mm - IC a valider a reception de la machine</t>
  </si>
  <si>
    <t>Extrusion</t>
  </si>
  <si>
    <t>Usure buse (300-500 h), colmatage, derive du tube PTFE</t>
  </si>
  <si>
    <t>Preventive systematique (remplacement buse selon compteur d'heures)</t>
  </si>
  <si>
    <t>Frequence de remplacement documentee par le constructeur (300-500 h)</t>
  </si>
  <si>
    <t>Panne carte mere, driver TMC, derive sonde ABL</t>
  </si>
  <si>
    <t>Preventive systematique (mise a jour firmware trimestrielle)</t>
  </si>
  <si>
    <t>Coeur de pilotage machine, mise a jour firmware documentee trimestrielle</t>
  </si>
  <si>
    <t>THR</t>
  </si>
  <si>
    <t>Thermique (chauffe/refroidissement)</t>
  </si>
  <si>
    <t>Derive thermistance/PID -&gt; emballement thermique, risque d'incendie</t>
  </si>
  <si>
    <t>Preventive systematique renforcee + surveillance obligatoire (risque incendie)</t>
  </si>
  <si>
    <t>Risque de securite majeur (emballement thermique) identifie sur toute imprimante FDM en enceinte fermee</t>
  </si>
  <si>
    <t>ENC</t>
  </si>
  <si>
    <t>Enceinte / chassis</t>
  </si>
  <si>
    <t>Colmatage filtre HEPA/charbon actif -&gt; exposition nanoparticules et COV</t>
  </si>
  <si>
    <t>Preventive systematique (remplacement filtre toutes les 500 h)</t>
  </si>
  <si>
    <t>Frequence de remplacement documentee par le constructeur (500 h) ; enjeu sante/securite</t>
  </si>
  <si>
    <t>PLAN DE MAINTENANCE PREVENTIVE - MACHINES COMPLEXES</t>
  </si>
  <si>
    <t>Actions preventives par composant, avec frequence, niveau d'intervenant et gamme associee. Les actions marquees GM14 sont des diagnostics prealables obligatoires pour les equipements hors service ou d'etat non renseigne.</t>
  </si>
  <si>
    <t>Code composant</t>
  </si>
  <si>
    <t>Composant / Sous-systeme</t>
  </si>
  <si>
    <t>Nature</t>
  </si>
  <si>
    <t>Action de maintenance</t>
  </si>
  <si>
    <t>Frequence</t>
  </si>
  <si>
    <t>Duree estimee (min)</t>
  </si>
  <si>
    <t>Niveau intervenant</t>
  </si>
  <si>
    <t>Arret machine requis</t>
  </si>
  <si>
    <t>Outillage / Consommables</t>
  </si>
  <si>
    <t>Gamme associee</t>
  </si>
  <si>
    <t>Source / Justification</t>
  </si>
  <si>
    <t>MEC-03</t>
  </si>
  <si>
    <t>Plateau martyr / bridage</t>
  </si>
  <si>
    <t>Inspection</t>
  </si>
  <si>
    <t>Controler l'etat et la planeite du plateau martyr, l'etat du bridage</t>
  </si>
  <si>
    <t>Hebdomadaire</t>
  </si>
  <si>
    <t>Chiffon</t>
  </si>
  <si>
    <t>Preserve la precision de percage</t>
  </si>
  <si>
    <t>AXE-01/02/03</t>
  </si>
  <si>
    <t>Vis a billes X/Y/Z</t>
  </si>
  <si>
    <t>Lubrification</t>
  </si>
  <si>
    <t>Lubrifier les vis a billes et guidages lineaires des 3 axes</t>
  </si>
  <si>
    <t>Mensuelle</t>
  </si>
  <si>
    <t>Graisse EP2, chiffon</t>
  </si>
  <si>
    <t>GM01</t>
  </si>
  <si>
    <t>Preconisation generale CNC (usure/jeu axes)</t>
  </si>
  <si>
    <t>AXE-05</t>
  </si>
  <si>
    <t>Fins de course X/Y/Z</t>
  </si>
  <si>
    <t>Controle</t>
  </si>
  <si>
    <t>Controler le declenchement et le cablage des fins de course</t>
  </si>
  <si>
    <t>Trimestrielle</t>
  </si>
  <si>
    <t>Multimetre</t>
  </si>
  <si>
    <t>GM12</t>
  </si>
  <si>
    <t>Securite de referencement des axes</t>
  </si>
  <si>
    <t>MOT-01/02/03</t>
  </si>
  <si>
    <t>Moteurs pas a pas</t>
  </si>
  <si>
    <t>Verifier cablage/connectique et echauffement des moteurs</t>
  </si>
  <si>
    <t>Thermometre IR</t>
  </si>
  <si>
    <t>Prevention perte de pas / surchauffe bobinage</t>
  </si>
  <si>
    <t>BRO-01/02</t>
  </si>
  <si>
    <t>Broche / mandrin-pince</t>
  </si>
  <si>
    <t>Controler jeu roulements, etat mandrin/pince, bruit anormal</t>
  </si>
  <si>
    <t>Cle mandrin</t>
  </si>
  <si>
    <t>GM05</t>
  </si>
  <si>
    <t>Sous-systeme classe A (criticite la plus elevee de la machine)</t>
  </si>
  <si>
    <t>BRO-01</t>
  </si>
  <si>
    <t>Broche</t>
  </si>
  <si>
    <t>Nettoyage</t>
  </si>
  <si>
    <t>Nettoyer la broche et evacuer les poussieres de percage</t>
  </si>
  <si>
    <t>Aspirateur, pinceau antistatique</t>
  </si>
  <si>
    <t>Poussiere abrasive de circuit imprime</t>
  </si>
  <si>
    <t>ELC-05</t>
  </si>
  <si>
    <t>Arret d'urgence / coupe-circuit capot</t>
  </si>
  <si>
    <t>Controle securite</t>
  </si>
  <si>
    <t>Tester le bouton d'arret d'urgence et le coupe-circuit du capot</t>
  </si>
  <si>
    <t>Aucun</t>
  </si>
  <si>
    <t>GM09</t>
  </si>
  <si>
    <t>ELC-03</t>
  </si>
  <si>
    <t>Transformateur / alimentation</t>
  </si>
  <si>
    <t>Verifier la tension de sortie de l'alimentation 220V/18V AC</t>
  </si>
  <si>
    <t>Annuelle</t>
  </si>
  <si>
    <t>Prevention de derive tension avant panne carte CPU</t>
  </si>
  <si>
    <t>LOG-02</t>
  </si>
  <si>
    <t>Parametrage &amp; sauvegardes</t>
  </si>
  <si>
    <t>Sauvegarde</t>
  </si>
  <si>
    <t>Sauvegarder les parametres machine et profils GALAAD</t>
  </si>
  <si>
    <t>Cle USB / PC</t>
  </si>
  <si>
    <t>GM10</t>
  </si>
  <si>
    <t>Restauration rapide en cas d'incident logiciel</t>
  </si>
  <si>
    <t>LOG-03</t>
  </si>
  <si>
    <t>Mises a jour GALAAD</t>
  </si>
  <si>
    <t>Mise a jour</t>
  </si>
  <si>
    <t>Verifier la disponibilite de mises a jour GALAAD 3</t>
  </si>
  <si>
    <t>Semestrielle</t>
  </si>
  <si>
    <t>PC connecte</t>
  </si>
  <si>
    <t>Corrections editeur et nouveaux formats d'import</t>
  </si>
  <si>
    <t>AXE-02/04/06</t>
  </si>
  <si>
    <t>Lubrifier rails lineaires et vis a billes des 3 axes</t>
  </si>
  <si>
    <t>Graisse EP2</t>
  </si>
  <si>
    <t>Preserve la precision +/-0,02 mm annoncee</t>
  </si>
  <si>
    <t>AXE-08</t>
  </si>
  <si>
    <t>Chaine porte-cables</t>
  </si>
  <si>
    <t>Verifier l'etat et le guidage de la chaine porte-cables</t>
  </si>
  <si>
    <t>Prevention de coincement/usure cables</t>
  </si>
  <si>
    <t>AXE-09</t>
  </si>
  <si>
    <t>Controler le declenchement des capteurs de fin de course</t>
  </si>
  <si>
    <t>Securite de referencement</t>
  </si>
  <si>
    <t>AXE-07/MOT-04</t>
  </si>
  <si>
    <t>Coupleurs / accouplements</t>
  </si>
  <si>
    <t>Verifier serrage et jeu des accouplements moteur / vis a billes</t>
  </si>
  <si>
    <t>Cle Allen</t>
  </si>
  <si>
    <t>GM02</t>
  </si>
  <si>
    <t>Prevention de jeu de transmission</t>
  </si>
  <si>
    <t>BRO-03/04</t>
  </si>
  <si>
    <t>Pince ER11/16 / VFD</t>
  </si>
  <si>
    <t>Controler le faux-rond de la pince et l'etat des roulements broche</t>
  </si>
  <si>
    <t>Comparateur</t>
  </si>
  <si>
    <t>Sous-systeme classe A (codes erreur VFD documentes)</t>
  </si>
  <si>
    <t>BRO-02</t>
  </si>
  <si>
    <t>Roulements broche</t>
  </si>
  <si>
    <t>Verifier ventilation moteur broche et absence de bruit anormal</t>
  </si>
  <si>
    <t>Stethoscope mecanique</t>
  </si>
  <si>
    <t>Detection precoce d'usure roulements</t>
  </si>
  <si>
    <t>ELC-03/04</t>
  </si>
  <si>
    <t>Controleur CNC / arret d'urgence</t>
  </si>
  <si>
    <t>Tester l'arret d'urgence et les capteurs de fin de course</t>
  </si>
  <si>
    <t>ASP-01</t>
  </si>
  <si>
    <t>Aspirateur / collecteur copeaux</t>
  </si>
  <si>
    <t>Nettoyer et controler le colmatage du filtre de l'aspirateur</t>
  </si>
  <si>
    <t>cf. principe GM04 adapte a l'aspirateur copeaux</t>
  </si>
  <si>
    <t>ASP-03</t>
  </si>
  <si>
    <t>Fixation piece (table T)</t>
  </si>
  <si>
    <t>Verifier l'etat des serre-joints et de la table T</t>
  </si>
  <si>
    <t>A chaque session</t>
  </si>
  <si>
    <t>Securite de bridage avant usinage</t>
  </si>
  <si>
    <t>Sauvegarder les parametres axes et post-processeurs FAO</t>
  </si>
  <si>
    <t>LASER PIPROD (FL-007 - HS)</t>
  </si>
  <si>
    <t>DIAG-01</t>
  </si>
  <si>
    <t>Diagnostic complet</t>
  </si>
  <si>
    <t>Diagnostic</t>
  </si>
  <si>
    <t>Realiser le diagnostic de la panne (optique, HT, refroidissement, aspiration) avant toute remise en service</t>
  </si>
  <si>
    <t>Ponctuelle (prealable obligatoire)</t>
  </si>
  <si>
    <t>Multimetre, outillage optique</t>
  </si>
  <si>
    <t>GM14</t>
  </si>
  <si>
    <t>Machine hors service - priorite 1, cf. 09_Points_Action</t>
  </si>
  <si>
    <t>OPT-02/03/04</t>
  </si>
  <si>
    <t>Miroirs de renvoi 1/2/3</t>
  </si>
  <si>
    <t>Nettoyage / Reglage</t>
  </si>
  <si>
    <t>Nettoyer et realigner les 3 miroirs de renvoi du faisceau (apres remise en service)</t>
  </si>
  <si>
    <t>Alcool isopropylique, chiffon optique</t>
  </si>
  <si>
    <t>GM07</t>
  </si>
  <si>
    <t>A activer une fois la machine remise en service</t>
  </si>
  <si>
    <t>REF-01/02</t>
  </si>
  <si>
    <t>Chiller / pompe a eau</t>
  </si>
  <si>
    <t>Controle / Remplacement</t>
  </si>
  <si>
    <t>Controler niveau/temperature et renouveler l'eau deionisee</t>
  </si>
  <si>
    <t>Mensuel (niveau) / Trimestriel (vidange)</t>
  </si>
  <si>
    <t>Eau deionisee</t>
  </si>
  <si>
    <t>GM08</t>
  </si>
  <si>
    <t>ASP-02</t>
  </si>
  <si>
    <t>Filtre a charbon actif</t>
  </si>
  <si>
    <t>Remplacement</t>
  </si>
  <si>
    <t>Remplacer le filtre a charbon actif</t>
  </si>
  <si>
    <t>Semestrielle (ou selon usage)</t>
  </si>
  <si>
    <t>Filtre neuf</t>
  </si>
  <si>
    <t>GM04</t>
  </si>
  <si>
    <t>ELC-01/03</t>
  </si>
  <si>
    <t>Arret d'urgence / interverrouillage capot</t>
  </si>
  <si>
    <t>Tester l'arret d'urgence et l'interverrouillage du capot</t>
  </si>
  <si>
    <t>Haute tension : fonction de securite critique</t>
  </si>
  <si>
    <t>CTRL-01</t>
  </si>
  <si>
    <t>Controle initial d'etat</t>
  </si>
  <si>
    <t>Realiser un controle physique complet (optique, HT, refroidissement, aspiration, securite) avant toute utilisation etudiante</t>
  </si>
  <si>
    <t>Etat non renseigne dans l'arborescence - priorite 1, cf. 09_Points_Action</t>
  </si>
  <si>
    <t>Nettoyer et realigner les 3 miroirs de renvoi du faisceau</t>
  </si>
  <si>
    <t>A activer une fois l'etat confirme</t>
  </si>
  <si>
    <t>MEC-06</t>
  </si>
  <si>
    <t>Filtre HEPA integre</t>
  </si>
  <si>
    <t>Controler et nettoyer le filtre HEPA integre</t>
  </si>
  <si>
    <t>Filtration nanoparticules/COV (fibres carbone)</t>
  </si>
  <si>
    <t>EXT-04/05/06</t>
  </si>
  <si>
    <t>Buses SiC</t>
  </si>
  <si>
    <t>Remplacement / Nettoyage</t>
  </si>
  <si>
    <t>Nettoyer ou remplacer les buses SiC selon colmatage/usure</t>
  </si>
  <si>
    <t>Selon usage (~500 h ou colmatage)</t>
  </si>
  <si>
    <t>Kit nettoyage buses</t>
  </si>
  <si>
    <t>GM03</t>
  </si>
  <si>
    <t>Composant classe B, forte frequence d'usage etudiant</t>
  </si>
  <si>
    <t>Courroies GT2 / rails IDEX</t>
  </si>
  <si>
    <t>Inspection / Reglage</t>
  </si>
  <si>
    <t>Verifier tension des courroies et alignement des 2 tetes IDEX</t>
  </si>
  <si>
    <t>Tensiometre courroie</t>
  </si>
  <si>
    <t>Alignement IDEX critique pour impressions duplex/miroir</t>
  </si>
  <si>
    <t>PLT-04</t>
  </si>
  <si>
    <t>Nivellement automatique</t>
  </si>
  <si>
    <t>Etalonnage</t>
  </si>
  <si>
    <t>Etalonner le systeme de nivellement automatique (mesh leveling)</t>
  </si>
  <si>
    <t>Aucun (procedure logicielle)</t>
  </si>
  <si>
    <t>GM06</t>
  </si>
  <si>
    <t>Garantit l'adherence et la qualite de la premiere couche</t>
  </si>
  <si>
    <t>SEC-01/02/05</t>
  </si>
  <si>
    <t>Capteurs fin filament / reprise coupure</t>
  </si>
  <si>
    <t>Tester les capteurs fin de filament et la reprise apres coupure secteur</t>
  </si>
  <si>
    <t>Evite la perte de piece en cours d'impression</t>
  </si>
  <si>
    <t>FIL-01/02</t>
  </si>
  <si>
    <t>Boites seches (Dry Box)</t>
  </si>
  <si>
    <t>Inspection / Remplacement</t>
  </si>
  <si>
    <t>Controler l'etancheite des dry box et renouveler le gel de silice</t>
  </si>
  <si>
    <t>Mensuelle (&lt; 30 j)</t>
  </si>
  <si>
    <t>Gel de silice</t>
  </si>
  <si>
    <t>GM11</t>
  </si>
  <si>
    <t>Filaments composites tres sensibles a l'humidite</t>
  </si>
  <si>
    <t>LOG-04/06</t>
  </si>
  <si>
    <t>Firmware / RaiseCloud</t>
  </si>
  <si>
    <t>Sauvegarde / Mise a jour</t>
  </si>
  <si>
    <t>Sauvegarder les profils et verifier les mises a jour firmware</t>
  </si>
  <si>
    <t>Mises a jour disponibles via le centre de telechargement editeur</t>
  </si>
  <si>
    <t>CUV-01</t>
  </si>
  <si>
    <t>Verifier l'etat du film FEP (rayures, perforations) et le remplacer si necessaire</t>
  </si>
  <si>
    <t>Selon usage</t>
  </si>
  <si>
    <t>Film FEP de rechange</t>
  </si>
  <si>
    <t>GM13</t>
  </si>
  <si>
    <t>Consommable a forte frequence d'usage etudiant</t>
  </si>
  <si>
    <t>UV-01</t>
  </si>
  <si>
    <t>Source UV / ecran</t>
  </si>
  <si>
    <t>Controler l'uniformite d'exposition et nettoyer la vitre de protection UV</t>
  </si>
  <si>
    <t>Chiffon optique</t>
  </si>
  <si>
    <t>Impact direct sur la qualite de polymerisation</t>
  </si>
  <si>
    <t>SEC-01</t>
  </si>
  <si>
    <t>Ventilation / EPI</t>
  </si>
  <si>
    <t>Verifier le bon fonctionnement de la ventilation et la disponibilite des EPI (gants nitrile, lunettes)</t>
  </si>
  <si>
    <t>Risque sanitaire COV/contact cutane - point de vigilance etudiant prioritaire</t>
  </si>
  <si>
    <t>NET-01</t>
  </si>
  <si>
    <t>Post-traitement (bain IPA)</t>
  </si>
  <si>
    <t>Controler la proprete et le taux d'alcool isopropylique du bain de nettoyage</t>
  </si>
  <si>
    <t>Alcool isopropylique</t>
  </si>
  <si>
    <t>Qualite de finition et securite du poste de post-traitement</t>
  </si>
  <si>
    <t>LOG-01</t>
  </si>
  <si>
    <t>Sauvegarder les profils resine et parametres d'exposition</t>
  </si>
  <si>
    <t>IMPRIMANTES FDM CREALITY x3 (FL-003/004/005 - HS)</t>
  </si>
  <si>
    <t>Diagnostic individuel</t>
  </si>
  <si>
    <t>Realiser un diagnostic individuel de chacune des 3 unites (extrusion, electronique, axes) avant toute remise en service</t>
  </si>
  <si>
    <t>Multimetre, outillage de base</t>
  </si>
  <si>
    <t>3 machines hors service - decision reparer/reformer, cf. 09_Points_Action</t>
  </si>
  <si>
    <t>EXT-01</t>
  </si>
  <si>
    <t>Nettoyage / Remplacement</t>
  </si>
  <si>
    <t>Nettoyer ou remplacer la buse et le tube PTFE selon l'etat constate</t>
  </si>
  <si>
    <t>A activer une fois chaque unite remise en service</t>
  </si>
  <si>
    <t>AXE-01</t>
  </si>
  <si>
    <t>Courroies et rails</t>
  </si>
  <si>
    <t>Verifier tension des courroies et etat des rails/tiges lisses</t>
  </si>
  <si>
    <t>MEC-001</t>
  </si>
  <si>
    <t>Chassis / equerrage</t>
  </si>
  <si>
    <t>Verifier l'equerrage et le serrage du chassis apres transport/usage</t>
  </si>
  <si>
    <t>Equerre, cle</t>
  </si>
  <si>
    <t>Impacte la precision +/-0,05 mm</t>
  </si>
  <si>
    <t>Rails lineaires</t>
  </si>
  <si>
    <t>Lubrifier les rails lineaires (graisse EP2)</t>
  </si>
  <si>
    <t>Frequence issue de la fiche constructeur</t>
  </si>
  <si>
    <t>MEC-003</t>
  </si>
  <si>
    <t>Courroies GT2</t>
  </si>
  <si>
    <t>Verifier la tension des courroies GT2 axes X/Y</t>
  </si>
  <si>
    <t>EXT-002</t>
  </si>
  <si>
    <t>Hotend &amp; buse</t>
  </si>
  <si>
    <t>Remplacer la buse selon compteur d'heures d'impression</t>
  </si>
  <si>
    <t>Selon compteur (300-500 h)</t>
  </si>
  <si>
    <t>Buse neuve, cles</t>
  </si>
  <si>
    <t>ELC-001</t>
  </si>
  <si>
    <t>Carte mere 32 bits</t>
  </si>
  <si>
    <t>Mettre a jour le firmware de la carte mere</t>
  </si>
  <si>
    <t>THR-002</t>
  </si>
  <si>
    <t>Thermistance / thermocouple</t>
  </si>
  <si>
    <t>Controle / Remplacement conditionnel</t>
  </si>
  <si>
    <t>Controler la derive de temperature (remplacer si ecart &gt; +/-5 C)</t>
  </si>
  <si>
    <t>Thermometre etalon</t>
  </si>
  <si>
    <t>Sous-systeme classe A : risque d'emballement thermique</t>
  </si>
  <si>
    <t>ENC-003</t>
  </si>
  <si>
    <t>Filtration HEPA + charbon actif</t>
  </si>
  <si>
    <t>Remplacer le filtre HEPA + charbon actif</t>
  </si>
  <si>
    <t>Selon compteur (500 h)</t>
  </si>
  <si>
    <t>FICHES D'EN-TETE DES GAMMES DE MAINTENANCE</t>
  </si>
  <si>
    <t>14 gammes (GM01 a GM12 reprises du dossier initial, GM13 et GM14 ajoutees pour couvrir l'impression resine et le diagnostic des equipements hors service / non renseignes de l'arborescence reelle).</t>
  </si>
  <si>
    <t>Code Gamme</t>
  </si>
  <si>
    <t>Titre de la gamme</t>
  </si>
  <si>
    <t>Composants / Sous-systemes vises</t>
  </si>
  <si>
    <t>Duree totale estimee</t>
  </si>
  <si>
    <t>Niveau intervenant requis</t>
  </si>
  <si>
    <t>EPI / Securite</t>
  </si>
  <si>
    <t>Outillage requis</t>
  </si>
  <si>
    <t>Consommables / Pieces</t>
  </si>
  <si>
    <t>Lubrification des rails lineaires et vis a billes</t>
  </si>
  <si>
    <t>EQ1, EQ2, EQ3, EQ5</t>
  </si>
  <si>
    <t>AXE (vis a billes, rails/guidages lineaires)</t>
  </si>
  <si>
    <t>Mensuelle (hebdomadaire pour EQ5, cf. fiche constructeur)</t>
  </si>
  <si>
    <t>20 min</t>
  </si>
  <si>
    <t>Gants nitrile, lunettes de protection</t>
  </si>
  <si>
    <t>Pinceau, chiffons non pelucheux</t>
  </si>
  <si>
    <t>Graisse EP2 (ou lithium NLGI2)</t>
  </si>
  <si>
    <t>Verification et tension des courroies / accouplements</t>
  </si>
  <si>
    <t>EQ2, EQ3, EQ4a, EQ4b, EQ5, EQ7</t>
  </si>
  <si>
    <t>AXE / MOT (courroies GT2, accouplements, coupleurs)</t>
  </si>
  <si>
    <t>Mensuelle a trimestrielle</t>
  </si>
  <si>
    <t>15-20 min</t>
  </si>
  <si>
    <t>N1/N2</t>
  </si>
  <si>
    <t>Lunettes de protection, gants</t>
  </si>
  <si>
    <t>Tensiometre courroie (ou methode de deflexion), cle Allen</t>
  </si>
  <si>
    <t>Aucun (courroie de rechange si usure constatee)</t>
  </si>
  <si>
    <t>Nettoyage / remplacement de la buse d'extrusion</t>
  </si>
  <si>
    <t>EQ3, EQ5, EQ7</t>
  </si>
  <si>
    <t>EXT (hotend, buse)</t>
  </si>
  <si>
    <t>Selon usage / colmatage (indicatif 300-500 h)</t>
  </si>
  <si>
    <t>Gants anti-chaleur, lunettes de protection</t>
  </si>
  <si>
    <t>Cles plates, fil de nettoyage buse, brosse laiton, pince</t>
  </si>
  <si>
    <t>Buse de rechange (diametre identique ou adapte)</t>
  </si>
  <si>
    <t>Controle et remplacement des filtres (HEPA / charbon actif)</t>
  </si>
  <si>
    <t>EQ2, EQ3, EQ4a, EQ4b, EQ5</t>
  </si>
  <si>
    <t>Filtration (aspiration, enceinte)</t>
  </si>
  <si>
    <t>Trimestrielle a semestrielle / selon compteur d'heures</t>
  </si>
  <si>
    <t>15 min</t>
  </si>
  <si>
    <t>Masque anti-poussiere FFP2, gants</t>
  </si>
  <si>
    <t>Aucun outillage specifique</t>
  </si>
  <si>
    <t>Filtre de rechange (HEPA, charbon actif ou copeaux selon machine)</t>
  </si>
  <si>
    <t>Controle broche, roulements et faux-rond</t>
  </si>
  <si>
    <t>EQ1, EQ2</t>
  </si>
  <si>
    <t>BRO (broche, mandrin/pince, roulements)</t>
  </si>
  <si>
    <t>Gants, lunettes de protection</t>
  </si>
  <si>
    <t>Comparateur a cadran, cle de mandrin/pince</t>
  </si>
  <si>
    <t>Etalonnage du nivellement du plateau chauffant</t>
  </si>
  <si>
    <t>EQ3 (et EQ5 selon configuration)</t>
  </si>
  <si>
    <t>PLT / THR (plateau, sonde de nivellement)</t>
  </si>
  <si>
    <t>Gants anti-chaleur si plateau chaud</t>
  </si>
  <si>
    <t>Aucun (procedure logicielle assistee)</t>
  </si>
  <si>
    <t>Nettoyage et alignement de l'optique laser</t>
  </si>
  <si>
    <t>EQ4a, EQ4b</t>
  </si>
  <si>
    <t>OPT (miroirs de renvoi, lentille de focalisation)</t>
  </si>
  <si>
    <t>Hebdomadaire (une fois la machine en service)</t>
  </si>
  <si>
    <t>20-30 min</t>
  </si>
  <si>
    <t>Gants, lunettes de protection (machine hors tension)</t>
  </si>
  <si>
    <t>Chiffons optiques non pelucheux, tournevis de reglage</t>
  </si>
  <si>
    <t>Alcool isopropylique, cotons-tiges optiques</t>
  </si>
  <si>
    <t>Controle et entretien du circuit de refroidissement (chiller)</t>
  </si>
  <si>
    <t>REF (chiller, pompe, tuyauterie)</t>
  </si>
  <si>
    <t>Mensuelle (niveau) / trimestrielle (vidange)</t>
  </si>
  <si>
    <t>Gants</t>
  </si>
  <si>
    <t>Seau, thermometre</t>
  </si>
  <si>
    <t>Eau deionisee ou distillee</t>
  </si>
  <si>
    <t>Test des dispositifs de securite (arret d'urgence, capots, capteurs)</t>
  </si>
  <si>
    <t>EQ1, EQ2, EQ3, EQ4a, EQ4b, EQ5</t>
  </si>
  <si>
    <t>ELC / SEC (securite)</t>
  </si>
  <si>
    <t>Mensuelle (obligatoire avant chaque nouvelle periode d'usage etudiant)</t>
  </si>
  <si>
    <t>10 min</t>
  </si>
  <si>
    <t>Aucun EPI specifique</t>
  </si>
  <si>
    <t>Sauvegarde des parametres machine et mise a jour logicielle/firmware</t>
  </si>
  <si>
    <t>EQ1, EQ2, EQ3, EQ4a, EQ4b, EQ5, EQ6, EQ7</t>
  </si>
  <si>
    <t>LOG / ELC (logiciel, firmware)</t>
  </si>
  <si>
    <t>10-15 min</t>
  </si>
  <si>
    <t>PC, cle USB dediee</t>
  </si>
  <si>
    <t>Controle des boites seches et gestion de l'humidite des filaments</t>
  </si>
  <si>
    <t>FIL (dry box, gel de silice)</t>
  </si>
  <si>
    <t>Mensuelle (&lt; 30 jours)</t>
  </si>
  <si>
    <t>Hygrometre (optionnel)</t>
  </si>
  <si>
    <t>Sachets de gel de silice</t>
  </si>
  <si>
    <t>Controle des fins de course et referencement des axes</t>
  </si>
  <si>
    <t>AXE (fins de course, referencement)</t>
  </si>
  <si>
    <t>Aucun EPI specifique (attention aux mouvements d'axes)</t>
  </si>
  <si>
    <t>Entretien impression resine (cuve, source UV, ventilation, post-traitement)</t>
  </si>
  <si>
    <t>CUV / UV / SEC / NET (cuve, source UV, securite, post-traitement)</t>
  </si>
  <si>
    <t>Selon usage / mensuelle</t>
  </si>
  <si>
    <t>Gants nitrile, lunettes de protection, ventilation active obligatoire</t>
  </si>
  <si>
    <t>Chiffon optique, spatule plastique</t>
  </si>
  <si>
    <t>Alcool isopropylique, film FEP de rechange, gel de silice</t>
  </si>
  <si>
    <t>Diagnostic prealable d'un equipement hors service ou d'etat non renseigne</t>
  </si>
  <si>
    <t>EQ4a, EQ4b, EQ7</t>
  </si>
  <si>
    <t>Transverse (mecanique, electronique, securite)</t>
  </si>
  <si>
    <t>Ponctuelle (prealable obligatoire avant activation du plan preventif)</t>
  </si>
  <si>
    <t>45-60 min</t>
  </si>
  <si>
    <t>N2/N3</t>
  </si>
  <si>
    <t>Gants, lunettes de protection, consignation electrique</t>
  </si>
  <si>
    <t>Multimetre, outillage de base, outillage optique si laser</t>
  </si>
  <si>
    <t>Aucun (pieces de rechange selon diagnostic)</t>
  </si>
  <si>
    <t>DEROULE PAS-A-PAS DES GAMMES DE MAINTENANCE</t>
  </si>
  <si>
    <t>GM01 a GM12 reprises du dossier initial ; GM13 (entretien resine) et GM14 (diagnostic prealable) ajoutees pour cette revision.</t>
  </si>
  <si>
    <t>N° Etape</t>
  </si>
  <si>
    <t>Description de l'operation</t>
  </si>
  <si>
    <t>Point de controle / Critere d'acceptation</t>
  </si>
  <si>
    <t>Precaution de securite / EPI</t>
  </si>
  <si>
    <t>Mettre la machine hors tension et verifier l'arret complet des axes.</t>
  </si>
  <si>
    <t>Ecran eteint, axes immobiles</t>
  </si>
  <si>
    <t>Verrouiller/consigner l'alimentation avant intervention</t>
  </si>
  <si>
    <t>Deplacer manuellement (ou en mode jog avant coupure) chaque axe pour degager les zones a lubrifier.</t>
  </si>
  <si>
    <t>Axe accessible sur toute sa course</t>
  </si>
  <si>
    <t>Ne jamais forcer un axe bloque</t>
  </si>
  <si>
    <t>Nettoyer les rails et vis a billes avec un chiffon non pelucheux pour retirer poussieres et copeaux.</t>
  </si>
  <si>
    <t>Rails et vis visuellement propres, sans depot</t>
  </si>
  <si>
    <t>Porter des gants (residus parfois coupants)</t>
  </si>
  <si>
    <t>Appliquer une fine couche de graisse EP2 sur les rails et vis a billes aux points de graissage constructeur.</t>
  </si>
  <si>
    <t>Film de graisse uniforme, sans exces</t>
  </si>
  <si>
    <t>Ne pas surdoser (l'exces attire la poussiere)</t>
  </si>
  <si>
    <t>Faire effectuer plusieurs allers-retours sur chaque axe pour repartir la graisse.</t>
  </si>
  <si>
    <t>Deplacement fluide, sans a-coup ni bruit anormal</t>
  </si>
  <si>
    <t>Rester a distance des parties mobiles</t>
  </si>
  <si>
    <t>Remettre la machine sous tension, verifier le referencement des axes (home) et consigner l'intervention dans le carnet GMAO.</t>
  </si>
  <si>
    <t>Referencement reussi sans alarme</t>
  </si>
  <si>
    <t>Fermer le capot de protection avant remise sous tension</t>
  </si>
  <si>
    <t>Mettre la machine hors tension.</t>
  </si>
  <si>
    <t>Machine a l'arret confirme</t>
  </si>
  <si>
    <t>Consignation de l'alimentation</t>
  </si>
  <si>
    <t>Inspecter visuellement l'etat des courroies (fissures, effilochage) et des accouplements (jeu, serrage).</t>
  </si>
  <si>
    <t>Absence de fissure/effilochage, absence de jeu visible</t>
  </si>
  <si>
    <t>Gants recommandes</t>
  </si>
  <si>
    <t>Mesurer la tension de la courroie par deflexion (appui modere au centre du brin libre).</t>
  </si>
  <si>
    <t>Deflexion conforme a la valeur constructeur (indicatif 3-5 mm)</t>
  </si>
  <si>
    <t>Ne pas sur-tensionner (risque de casse prematuree du roulement)</t>
  </si>
  <si>
    <t>Ajuster la tension via le tendeur ou en repositionnant le moteur si necessaire.</t>
  </si>
  <si>
    <t>Deflexion corrigee dans la plage attendue</t>
  </si>
  <si>
    <t>Utiliser l'outillage adapte</t>
  </si>
  <si>
    <t>Verifier le serrage des vis des accouplements moteur / vis a billes.</t>
  </si>
  <si>
    <t>Couple de serrage conforme, absence de jeu axial</t>
  </si>
  <si>
    <t>Ne pas sur-serrer (risque de deformation du coupleur)</t>
  </si>
  <si>
    <t>Remettre sous tension et effectuer un test de deplacement sur toute la course de l'axe.</t>
  </si>
  <si>
    <t>Deplacement silencieux et regulier</t>
  </si>
  <si>
    <t>Arreter immediatement en cas de bruit anormal</t>
  </si>
  <si>
    <t>Chauffer le hotend a la temperature d'impression du dernier materiau utilise puis suivre la procedure d'arret du constructeur.</t>
  </si>
  <si>
    <t>Temperature stabilisee affichee</t>
  </si>
  <si>
    <t>Risque de brulure : gants anti-chaleur obligatoires</t>
  </si>
  <si>
    <t>Retirer le filament restant en suivant la procedure de retrait du logiciel de pilotage.</t>
  </si>
  <si>
    <t>Filament totalement retire, absence de residu dans le tube</t>
  </si>
  <si>
    <t>Ne jamais tirer le filament a froid (risque de casse interne)</t>
  </si>
  <si>
    <t>Devisser la buse a chaud avec la cle adaptee et la remplacer, ou la nettoyer (fil de nettoyage, brosse laiton).</t>
  </si>
  <si>
    <t>Buse propre, filetage sans bavure</t>
  </si>
  <si>
    <t>Manipuler la buse chaude avec une pince, jamais a main nue</t>
  </si>
  <si>
    <t>Reinstaller (ou revisser) la buse au couple recommande par le constructeur.</t>
  </si>
  <si>
    <t>Serrage conforme, absence de fuite de matiere au demarrage</t>
  </si>
  <si>
    <t>Verifier l'absence de jeu entre bloc de chauffe et buse</t>
  </si>
  <si>
    <t>Recharger le filament et effectuer une purge de controle.</t>
  </si>
  <si>
    <t>Extrusion reguliere, filament continu sans bulle</t>
  </si>
  <si>
    <t>Verifier le bon calibrage du capteur fin de filament</t>
  </si>
  <si>
    <t>Relancer si necessaire l'auto-tuning PID et remettre a zero le compteur d'heures de la buse.</t>
  </si>
  <si>
    <t>PID stable, ecart de temperature inferieur a +/-1 C</t>
  </si>
  <si>
    <t>Consigner la date/compteur dans le carnet GMAO</t>
  </si>
  <si>
    <t>Mettre la machine hors tension et laisser refroidir l'enceinte si necessaire.</t>
  </si>
  <si>
    <t>Machine froide et hors tension</t>
  </si>
  <si>
    <t>Attendre le refroidissement (risque de brulure)</t>
  </si>
  <si>
    <t>Ouvrir le capot ou le panneau d'acces au filtre selon la notice constructeur.</t>
  </si>
  <si>
    <t>Acces au filtre degage</t>
  </si>
  <si>
    <t>Porter un masque anti-poussiere FFP2</t>
  </si>
  <si>
    <t>Retirer le filtre usage en notant son etat (colmatage, decoloration).</t>
  </si>
  <si>
    <t>Filtre retire sans endommager le logement</t>
  </si>
  <si>
    <t>Manipuler le filtre use avec precaution</t>
  </si>
  <si>
    <t>Nettoyer le logement du filtre par aspiration douce ou chiffon sec.</t>
  </si>
  <si>
    <t>Logement propre, sans depot residuel</t>
  </si>
  <si>
    <t>Ne pas utiliser d'air comprime (disperse les particules)</t>
  </si>
  <si>
    <t>Installer le filtre neuf en respectant le sens de montage indique par le fabricant.</t>
  </si>
  <si>
    <t>Filtre correctement positionne, joint d'etancheite en place</t>
  </si>
  <si>
    <t>Verifier l'etancheite du joint</t>
  </si>
  <si>
    <t>Remettre sous tension, reinitialiser le compteur d'heures filtre si applicable et consigner l'intervention.</t>
  </si>
  <si>
    <t>Compteur remis a zero, aucune alarme filtre</t>
  </si>
  <si>
    <t>Jeter le filtre use selon les consignes de tri du Fablab</t>
  </si>
  <si>
    <t>Mettre la machine hors tension et laisser refroidir la broche apres usage.</t>
  </si>
  <si>
    <t>Broche froide, machine a l'arret</t>
  </si>
  <si>
    <t>Retirer l'outil de coupe et inspecter visuellement le mandrin ou la pince (usure, jeu).</t>
  </si>
  <si>
    <t>Absence de jeu visible, pince/mandrin propre</t>
  </si>
  <si>
    <t>Gants recommandes (aretes coupantes des outils)</t>
  </si>
  <si>
    <t>Monter un comparateur a cadran pour mesurer le faux-rond de la broche.</t>
  </si>
  <si>
    <t>Faux-rond dans la tolerance constructeur (indicatif &lt; 0,02-0,05 mm)</t>
  </si>
  <si>
    <t>Ne pas faire tourner la broche pendant la mesure</t>
  </si>
  <si>
    <t>Faire tourner la broche a vide a differentes vitesses et detecter tout bruit ou vibration anormale.</t>
  </si>
  <si>
    <t>Fonctionnement silencieux, absence de vibration excessive</t>
  </si>
  <si>
    <t>Ne jamais approcher les mains de la broche en rotation</t>
  </si>
  <si>
    <t>Nettoyer le corps de broche et verifier que les grilles de ventilation sont degagees.</t>
  </si>
  <si>
    <t>Grilles de ventilation propres et degagees</t>
  </si>
  <si>
    <t>Machine hors tension pendant le nettoyage</t>
  </si>
  <si>
    <t>Consigner les mesures et observations dans le carnet GMAO pour suivi de tendance.</t>
  </si>
  <si>
    <t>Fiche de suivi renseignee</t>
  </si>
  <si>
    <t>S'assurer que le plateau est propre et a la temperature requise par la procedure constructeur.</t>
  </si>
  <si>
    <t>Plateau propre, sans residu d'impression</t>
  </si>
  <si>
    <t>Attendre le refroidissement si le plateau etait chaud</t>
  </si>
  <si>
    <t>Lancer la procedure de nivellement automatique (mesh leveling) depuis l'interface machine ou le logiciel.</t>
  </si>
  <si>
    <t>Procedure demarree sans erreur</t>
  </si>
  <si>
    <t>Laisser la sonde de nivellement cartographier l'ensemble de la surface du plateau.</t>
  </si>
  <si>
    <t>Cartographie complete sans alarme capteur</t>
  </si>
  <si>
    <t>Ne pas toucher le plateau pendant la mesure</t>
  </si>
  <si>
    <t>Verifier la coherence de la cartographie obtenue (absence de zone aberrante).</t>
  </si>
  <si>
    <t>Ecarts de planeite dans la tolerance constructeur</t>
  </si>
  <si>
    <t>Relancer la mesure en cas de doute</t>
  </si>
  <si>
    <t>Sauvegarder le profil de nivellement et lancer une impression de test de calibration.</t>
  </si>
  <si>
    <t>Premiere couche uniforme sur toute la surface</t>
  </si>
  <si>
    <t>Consigner la date d'etalonnage dans le carnet GMAO.</t>
  </si>
  <si>
    <t>Mettre la machine hors tension et s'assurer qu'aucune emission laser n'est possible (cle/verrouillage).</t>
  </si>
  <si>
    <t>Machine hors tension, verrouillage actif</t>
  </si>
  <si>
    <t>Ne jamais intervenir machine sous tension : risque d'exposition au faisceau</t>
  </si>
  <si>
    <t>Ouvrir les caches d'acces aux miroirs de renvoi 1, 2 et 3.</t>
  </si>
  <si>
    <t>Acces degage a chaque miroir</t>
  </si>
  <si>
    <t>Porter des gants (eviter les traces de doigts sur l'optique)</t>
  </si>
  <si>
    <t>Nettoyer chaque miroir avec un chiffon optique non pelucheux imbibe d'alcool isopropylique, par mouvements circulaires legers.</t>
  </si>
  <si>
    <t>Miroir propre, sans rayure ni trace</t>
  </si>
  <si>
    <t>Ne jamais appuyer fortement sur la surface optique</t>
  </si>
  <si>
    <t>Nettoyer la lentille de focalisation de la tete laser de la meme maniere.</t>
  </si>
  <si>
    <t>Lentille propre et transparente, sans rayure</t>
  </si>
  <si>
    <t>Manipuler la lentille par les bords uniquement</t>
  </si>
  <si>
    <t>Verifier l'alignement du faisceau selon la procedure constructeur (test hors matiere, puissance minimale).</t>
  </si>
  <si>
    <t>Impact du faisceau centre sur chaque miroir</t>
  </si>
  <si>
    <t>Utiliser la puissance minimale de test recommandee</t>
  </si>
  <si>
    <t>Refermer les caches, remettre sous tension et consigner l'etat optique et l'alignement dans le carnet GMAO.</t>
  </si>
  <si>
    <t>Aucune alarme, test de coupe conforme</t>
  </si>
  <si>
    <t>Controler le niveau d'eau dans le reservoir du chiller et la temperature affichee.</t>
  </si>
  <si>
    <t>Niveau conforme au repere, temperature dans la plage 15-25 C</t>
  </si>
  <si>
    <t>Verifier l'absence de fuite sur les tuyaux silicone et les raccords.</t>
  </si>
  <si>
    <t>Aucune trace d'humidite ou de fuite</t>
  </si>
  <si>
    <t>Machine hors tension pendant le controle</t>
  </si>
  <si>
    <t>Verifier le fonctionnement du capteur de debit/temperature (test de coupure si procedure disponible).</t>
  </si>
  <si>
    <t>Coupure laser automatique confirmee en cas de debit simule insuffisant</t>
  </si>
  <si>
    <t>Ne jamais shunter le capteur de securite</t>
  </si>
  <si>
    <t>Vidanger et remplacer l'eau deionisee selon la frequence definie ou en cas d'eau trouble.</t>
  </si>
  <si>
    <t>Eau claire, absence de depot dans le reservoir</t>
  </si>
  <si>
    <t>Porter des gants, eliminer l'eau usagee selon les consignes du Fablab</t>
  </si>
  <si>
    <t>Remettre en service, verifier la stabilisation de la temperature avant utilisation, et consigner l'intervention.</t>
  </si>
  <si>
    <t>Temperature stabilisee avant le premier cycle laser</t>
  </si>
  <si>
    <t>Informer les utilisateurs presents qu'un test de securite va etre effectue.</t>
  </si>
  <si>
    <t>Mettre la machine sous tension en configuration de test, hors production.</t>
  </si>
  <si>
    <t>Machine prete, aucun travail en cours</t>
  </si>
  <si>
    <t>Actionner le bouton d'arret d'urgence et verifier la coupure immediate et totale (moteurs, broche/laser, alimentation).</t>
  </si>
  <si>
    <t>Coupure instantanee confirmee</t>
  </si>
  <si>
    <t>Ne jamais differer ce test</t>
  </si>
  <si>
    <t>Ouvrir le capot de protection en fonctionnement simule et verifier la coupure automatique (interverrouillage).</t>
  </si>
  <si>
    <t>Coupure automatique a l'ouverture</t>
  </si>
  <si>
    <t>Rester a distance des parties mobiles pendant le test</t>
  </si>
  <si>
    <t>Reinitialiser l'arret d'urgence et verifier le redemarrage normal apres deverrouillage.</t>
  </si>
  <si>
    <t>Redemarrage normal, sans alarme residuelle</t>
  </si>
  <si>
    <t>Consigner le resultat du test dans le carnet GMAO ; en cas d'anomalie, condamner la machine et alerter le responsable technique.</t>
  </si>
  <si>
    <t>Fiche de test renseignee, machine condamnee si anomalie</t>
  </si>
  <si>
    <t>Ne jamais remettre en service une machine dont la securite est defaillante</t>
  </si>
  <si>
    <t>Verifier qu'aucun travail (usinage/impression/decoupe) n'est en cours sur la machine.</t>
  </si>
  <si>
    <t>Machine au repos</t>
  </si>
  <si>
    <t>Exporter les parametres machine et profils courants vers un support externe.</t>
  </si>
  <si>
    <t>Fichier de sauvegarde cree et horodate</t>
  </si>
  <si>
    <t>Verifier sur le canal officiel de l'editeur la disponibilite d'une nouvelle version du logiciel/firmware.</t>
  </si>
  <si>
    <t>Version courante comparee a la derniere version disponible</t>
  </si>
  <si>
    <t>Ne telecharger que depuis les sources officielles du fabricant</t>
  </si>
  <si>
    <t>Si une mise a jour est disponible, l'installer en suivant la procedure constructeur.</t>
  </si>
  <si>
    <t>Mise a jour installee sans erreur</t>
  </si>
  <si>
    <t>Ne jamais couper l'alimentation pendant une mise a jour firmware</t>
  </si>
  <si>
    <t>Verifier le bon fonctionnement de la machine apres mise a jour (test simple de deplacement/impression).</t>
  </si>
  <si>
    <t>Fonctionnement nominal confirme</t>
  </si>
  <si>
    <t>Archiver la sauvegarde dans la bibliotheque documentaire GMAO et consigner la version installee.</t>
  </si>
  <si>
    <t>Version et date consignees</t>
  </si>
  <si>
    <t>Verifier l'indicateur d'humidite (ou l'hygrometre) de chaque boite seche.</t>
  </si>
  <si>
    <t>Taux d'humidite conforme (indicatif &lt; 20% HR)</t>
  </si>
  <si>
    <t>Inspecter les joints d'etancheite des boites seches et des guide-tubes PTFE.</t>
  </si>
  <si>
    <t>Joints intacts, absence de jeu</t>
  </si>
  <si>
    <t>Retirer et inspecter les sachets de gel de silice ; les regenerer ou les remplacer si satures.</t>
  </si>
  <si>
    <t>Gel de silice actif (indicateur colore conforme)</t>
  </si>
  <si>
    <t>Suivre les instructions du fabricant du gel</t>
  </si>
  <si>
    <t>Reinstaller les bobines de filament en evitant tout contact avec l'humidite ambiante.</t>
  </si>
  <si>
    <t>Bobines correctement positionnees, boite refermee</t>
  </si>
  <si>
    <t>Verifier que le guide-tube PTFE ne presente pas de coude excessif limitant le deroulement.</t>
  </si>
  <si>
    <t>Deroulement du filament sans resistance excessive</t>
  </si>
  <si>
    <t>Consigner la date de controle et le taux d'humidite releve dans le carnet GMAO.</t>
  </si>
  <si>
    <t>Mettre la machine sous tension en mode test, sans outil ni piece en place.</t>
  </si>
  <si>
    <t>Machine prete, zone de travail degagee</t>
  </si>
  <si>
    <t>Verifier qu'aucune piece ou outil ne genera le mouvement des axes</t>
  </si>
  <si>
    <t>Lancer la procedure de referencement (homing) sur chaque axe X, Y, Z.</t>
  </si>
  <si>
    <t>Chaque axe atteint sa butee et s'arrete sans forcer</t>
  </si>
  <si>
    <t>Rester a distance des axes en mouvement</t>
  </si>
  <si>
    <t>Verifier le declenchement effectif de chaque capteur de fin de course (multimetre ou interface logicielle).</t>
  </si>
  <si>
    <t>Signal de declenchement confirme pour chaque axe</t>
  </si>
  <si>
    <t>Machine hors tension pour toute manipulation electrique directe</t>
  </si>
  <si>
    <t>Controler l'absence de jeu mecanique ou de deformation sur le support des capteurs.</t>
  </si>
  <si>
    <t>Capteurs fixes solidement, alignement correct</t>
  </si>
  <si>
    <t>Effectuer un test de deplacement sur toute la course avec verification des butees logicielles.</t>
  </si>
  <si>
    <t>Arret conforme aux limites parametrees, sans collision</t>
  </si>
  <si>
    <t>Consigner le resultat du test dans le carnet GMAO.</t>
  </si>
  <si>
    <t>Fiche de test renseignee</t>
  </si>
  <si>
    <t>Mettre la machine hors tension et s'assurer que la cuve de resine est fermee/protegee de la lumiere ambiante.</t>
  </si>
  <si>
    <t>Machine hors tension, cuve protegee</t>
  </si>
  <si>
    <t>Porter des gants nitrile avant tout contact avec la resine</t>
  </si>
  <si>
    <t>Inspecter le film FEP au fond de la cuve (rayures, perforations, opacite) avec un eclairage rasant.</t>
  </si>
  <si>
    <t>Film FEP transparent, sans rayure profonde ni perforation</t>
  </si>
  <si>
    <t>Ne jamais toucher le film avec un objet pointu</t>
  </si>
  <si>
    <t>Filtrer la resine restante et nettoyer la cuve avec une spatule plastique souple si des residus polymerises sont presents.</t>
  </si>
  <si>
    <t>Cuve propre, resine filtree sans debris</t>
  </si>
  <si>
    <t>Travailler sous ventilation active, gants et lunettes obligatoires</t>
  </si>
  <si>
    <t>Nettoyer la vitre de protection UV et verifier l'absence de traces ou de rayures sur la source d'exposition.</t>
  </si>
  <si>
    <t>Vitre propre et transparente</t>
  </si>
  <si>
    <t>Ne jamais regarder directement la source UV en fonctionnement</t>
  </si>
  <si>
    <t>Controler le bain de post-traitement (alcool isopropylique) : proprete, niveau, et remplacer si trouble.</t>
  </si>
  <si>
    <t>Bain propre et efficace pour le rincage des pieces</t>
  </si>
  <si>
    <t>Manipuler l'alcool isopropylique loin de toute source de chaleur/flamme</t>
  </si>
  <si>
    <t>Verifier le bon fonctionnement de la ventilation du poste et consigner l'intervention dans le carnet GMAO.</t>
  </si>
  <si>
    <t>Extraction d'air fonctionnelle, aucune odeur residuelle percue</t>
  </si>
  <si>
    <t>Ne jamais utiliser la machine sans ventilation active</t>
  </si>
  <si>
    <t>Consigner electriquement la machine (coupure et verrouillage de l'alimentation) avant toute manipulation.</t>
  </si>
  <si>
    <t>Machine hors tension, consignation verifiee</t>
  </si>
  <si>
    <t>Ne jamais diagnostiquer une machine sous tension sans habilitation adaptee</t>
  </si>
  <si>
    <t>Recueillir les informations disponibles sur la panne ou l'etat (derniers utilisateurs, symptomes observes, historique si disponible).</t>
  </si>
  <si>
    <t>Fiche de symptomes renseignee</t>
  </si>
  <si>
    <t>Realiser une inspection visuelle generale (cablage, connectique, etat mecanique, propolete, traces de surchauffe ou de fuite).</t>
  </si>
  <si>
    <t>Anomalies visibles listees</t>
  </si>
  <si>
    <t>Porter des gants et lunettes de protection</t>
  </si>
  <si>
    <t>Controler les fonctions de securite (arret d'urgence, interverrouillages) avant tout essai fonctionnel, meme partiel.</t>
  </si>
  <si>
    <t>Fonctions de securite verifiees ou anomalie identifiee et signalee</t>
  </si>
  <si>
    <t>Ne pas remettre sous tension si une fonction de securite est douteuse</t>
  </si>
  <si>
    <t>Si l'inspection ne revele pas de danger immediat, effectuer un essai fonctionnel partiel supervise par le responsable technique (N3).</t>
  </si>
  <si>
    <t>Cause probable de panne identifiee, ou absence d'anomalie confirmant un etat operationnel</t>
  </si>
  <si>
    <t>Essai reserve au niveau N3, jamais realise par un etudiant seul</t>
  </si>
  <si>
    <t>Consigner le diagnostic, la decision (remise en service / reparation / reforme) et la date dans le carnet GMAO et l'onglet 09_Points_Action.</t>
  </si>
  <si>
    <t>Statut de la machine mis a jour dans l'arborescence</t>
  </si>
  <si>
    <t>Ne jamais remettre en service tant que la decision n'est pas formellement actee par le responsable technique</t>
  </si>
  <si>
    <t>FICHE D'ENTRETIEN SIMPLIFIEE - OUTILLAGE, INSTRUMENTS ET CONSOMMABLES (niveau 2)</t>
  </si>
  <si>
    <t>Concerne les ~60 articles de l'arborescence reelle qui ne necessitent pas d'analyse AMDEC complete. Format volontairement court : action recommandee, frequence, niveau requis (majoritairement N1 = etudiant forme), point de vigilance. Lignes en couleur = etat a controler en priorite ou ecart identifie.</t>
  </si>
  <si>
    <t>Code(s) arborescence</t>
  </si>
  <si>
    <t>Categorie</t>
  </si>
  <si>
    <t>Action recommandee</t>
  </si>
  <si>
    <t>Niveau requis</t>
  </si>
  <si>
    <t>Point de vigilance / securite</t>
  </si>
  <si>
    <t>FL-038 a FL-043</t>
  </si>
  <si>
    <t>Oscilloscopes numeriques/analogiques, balances</t>
  </si>
  <si>
    <t>Verifier l'etat des cables/sondes, nettoyer l'ecran, controler l'etalonnage visuel (mise a zero)</t>
  </si>
  <si>
    <t>Avant chaque usage / Mensuelle</t>
  </si>
  <si>
    <t>Ne jamais depasser la tension d'entree maximale de la sonde</t>
  </si>
  <si>
    <t>FL-044, FL-045</t>
  </si>
  <si>
    <t>Alimentation DC reglable, generateur de signaux</t>
  </si>
  <si>
    <t>Verifier l'etat des cordons et connecteurs, controler l'affichage</t>
  </si>
  <si>
    <t>Avant chaque usage</t>
  </si>
  <si>
    <t>Verifier l'absence de court-circuit avant mise sous tension</t>
  </si>
  <si>
    <t>FL-046, FL-048, FL-049</t>
  </si>
  <si>
    <t>Stations de reprise / soudage</t>
  </si>
  <si>
    <t>Nettoyer la panne, verifier la temperature de consigne, controler le cordon d'alimentation</t>
  </si>
  <si>
    <t>Risque de brulure - toujours reposer le fer sur son support ; ventilation requise (fumees de soudure)</t>
  </si>
  <si>
    <t>Alimentations de laboratoire stabilisees (x10)</t>
  </si>
  <si>
    <t>Verifier l'etat des cordons, controler l'affichage de tension/courant</t>
  </si>
  <si>
    <t>Ne jamais court-circuiter les sorties</t>
  </si>
  <si>
    <t>Nettoyer la resistance chauffante, verifier le cablage et la fixation</t>
  </si>
  <si>
    <t>Risque de brulure - laisser refroidir avant nettoyage</t>
  </si>
  <si>
    <t>Compresseur (8 bars)</t>
  </si>
  <si>
    <t>Purger la cuve, verifier la pression et l'absence de fuite d'air</t>
  </si>
  <si>
    <t>Purger avant toute intervention ; ne jamais depasser la pression maximale indiquee</t>
  </si>
  <si>
    <t>Aspirateur de poussiere (etat non renseigne)</t>
  </si>
  <si>
    <t>Verifier l'etat du filtre/sac et le cordon d'alimentation - controler l'etat general en priorite (cf. 09_Points_Action)</t>
  </si>
  <si>
    <t>Vider le sac/bac avant saturation</t>
  </si>
  <si>
    <t>FL-014, FL-015, FL-016</t>
  </si>
  <si>
    <t>Pulverisateur electrique, pompe a eau, machine a air chaud</t>
  </si>
  <si>
    <t>Verifier le cordon d'alimentation, nettoyer apres usage, controler l'absence de fuite</t>
  </si>
  <si>
    <t>Debrancher avant tout nettoyage</t>
  </si>
  <si>
    <t>Verifier la fixation au sol/etabli, controler la courroie et le mandrin</t>
  </si>
  <si>
    <t>Toujours retirer la cle de mandrin avant demarrage</t>
  </si>
  <si>
    <t>Appareil photo / scanner 3D (etat non renseigne)</t>
  </si>
  <si>
    <t>Verifier la batterie/alimentation et l'objectif - controler l'etat general en priorite (cf. 09_Points_Action)</t>
  </si>
  <si>
    <t>Manipuler avec precaution (optique fragile)</t>
  </si>
  <si>
    <t>Prototype Shell Eco-marathon 2015 (x7)</t>
  </si>
  <si>
    <t>Depoussierer, verifier l'integrite pour exposition (pas d'usage fonctionnel)</t>
  </si>
  <si>
    <t>Aucun risque particulier - piece d'exposition</t>
  </si>
  <si>
    <t>Verifier le niveau de stock</t>
  </si>
  <si>
    <t>FL-062 a FL-065</t>
  </si>
  <si>
    <t>Tirefonds, vis a metaux, vis CHC, pointes</t>
  </si>
  <si>
    <t>Verifier le niveau de stock et le tri par reference</t>
  </si>
  <si>
    <t>FL-065 en etat non renseigne - verifier la quantite disponible</t>
  </si>
  <si>
    <t>FL-051 a FL-056</t>
  </si>
  <si>
    <t>Filaments ABS (couleurs diverses)</t>
  </si>
  <si>
    <t>Controler l'etat de sechage (stockage a l'abri de l'humidite), verifier le niveau de stock</t>
  </si>
  <si>
    <t>Stocker dans un endroit sec, a l'ecart des sources de chaleur</t>
  </si>
  <si>
    <t>FL-018 a FL-035</t>
  </si>
  <si>
    <t>Outillage a main (scie, serre-joint, pinces, cles plates et six pans, equerre, cle a molette, tournevis, ciseaux, pince a denuder, pince coupante, pinceau, pompe a dessouder)</t>
  </si>
  <si>
    <t>Verifier l'etat general (pas de fissure, de jeu ou de corrosion), ranger a l'emplacement dedie apres usage</t>
  </si>
  <si>
    <t>Avant chaque usage / Trimestrielle</t>
  </si>
  <si>
    <t>FL-024 (cle plate 17/16) : doublon probable avec FL-022 (16/17) a verifier - cf. 09_Points_Action</t>
  </si>
  <si>
    <t>FL-036, FL-037</t>
  </si>
  <si>
    <t>Meuleuse d'angle, mini perceuses</t>
  </si>
  <si>
    <t>Verifier l'etat du disque/foret et du cordon d'alimentation avant chaque usage</t>
  </si>
  <si>
    <t>Port obligatoire de lunettes de protection et de gants anti-coupure</t>
  </si>
  <si>
    <t>FL-057 a FL-060</t>
  </si>
  <si>
    <t>Bombes de peinture aerosol (couleurs diverses)</t>
  </si>
  <si>
    <t>Verifier le niveau de stock, controler la date de peremption</t>
  </si>
  <si>
    <t>Utiliser en zone ventilee, loin de toute source de chaleur/flamme</t>
  </si>
  <si>
    <t>Armoire electrique (x2, etat non renseigne)</t>
  </si>
  <si>
    <t>Equipement electrique (infrastructure)</t>
  </si>
  <si>
    <t>Faire verifier l'etat par un electricien habilite - controle prioritaire de l'etat (cf. 09_Points_Action)</t>
  </si>
  <si>
    <t>Annuelle (habilitation electrique)</t>
  </si>
  <si>
    <t>Ne jamais intervenir sans habilitation electrique</t>
  </si>
  <si>
    <t>Verifier le niveau et reapprovisionner</t>
  </si>
  <si>
    <t>Intertek (nature non identifiee)</t>
  </si>
  <si>
    <t>Non classe / A identifier</t>
  </si>
  <si>
    <t>Identifier la nature de l'equipement avant tout classement ou usage (cf. 09_Points_Action)</t>
  </si>
  <si>
    <t>Ponctuelle (prioritaire)</t>
  </si>
  <si>
    <t>Ne pas utiliser tant que l'equipement n'est pas identifie</t>
  </si>
  <si>
    <t>SYNTHESE DES ECARTS ET PLAN D'ACTION</t>
  </si>
  <si>
    <t>Liste des ecarts constates entre le dossier de criticite initial et l'arborescence reelle du Fablab, et des actions correctives a mener avant activation complete du plan de maintenance preventive. Priorite 1 = bloquant pour la securite ou l'usage etudiant.</t>
  </si>
  <si>
    <t>Priorite</t>
  </si>
  <si>
    <t>Code(s) concerne(s)</t>
  </si>
  <si>
    <t>Ecart constate</t>
  </si>
  <si>
    <t>Action a mener</t>
  </si>
  <si>
    <t>Responsable suggere</t>
  </si>
  <si>
    <t>Echeance suggeree</t>
  </si>
  <si>
    <t>Machine de decoupe laser (PIPROD)</t>
  </si>
  <si>
    <t>Declaree hors service dans l'arborescence reelle, sans cause de panne documentee</t>
  </si>
  <si>
    <t>Realiser le diagnostic complet (gamme GM14) : optique, alimentation HT, refroidissement, aspiration. Decider reparation ou reforme.</t>
  </si>
  <si>
    <t>Responsable technique (N3)</t>
  </si>
  <si>
    <t>Avant toute reprise d'activite laser</t>
  </si>
  <si>
    <t>Etat non renseigne dans l'arborescence reelle</t>
  </si>
  <si>
    <t>Realiser un controle physique complet (gamme GM14) avant toute mise a disposition des etudiants.</t>
  </si>
  <si>
    <t>Armoire electrique (x2)</t>
  </si>
  <si>
    <t>Etat non renseigne</t>
  </si>
  <si>
    <t>Faire realiser un controle par un electricien habilite (verification periodique reglementaire).</t>
  </si>
  <si>
    <t>Responsable technique / electricien habilite</t>
  </si>
  <si>
    <t>Sous 1 mois</t>
  </si>
  <si>
    <t>Imprimantes 3D FDM Creality (x3)</t>
  </si>
  <si>
    <t>Declarees hors service, sans cause de panne documentee</t>
  </si>
  <si>
    <t>Diagnostic individuel de chaque unite (gamme GM14). Decider reparation ou reforme pour chacune.</t>
  </si>
  <si>
    <t>Etudiant referent + responsable technique</t>
  </si>
  <si>
    <t>Sous 2 mois</t>
  </si>
  <si>
    <t>Controler l'etat general (filtre, moteur, cordon) et mettre a jour le statut dans l'arborescence.</t>
  </si>
  <si>
    <t>Etudiant referent</t>
  </si>
  <si>
    <t>Controler l'etat general (alimentation, optique) et mettre a jour le statut dans l'arborescence.</t>
  </si>
  <si>
    <t>Etat non renseigne, quantite non renseignee</t>
  </si>
  <si>
    <t>Inventorier la quantite disponible et verifier l'etat du stock.</t>
  </si>
  <si>
    <t>Nature de l'equipement non identifiee</t>
  </si>
  <si>
    <t>Identifier l'equipement (recherche reference/plaque signaletique) avant tout classement definitif ou mise en usage.</t>
  </si>
  <si>
    <t>Cle plate 17/16</t>
  </si>
  <si>
    <t>Doublon probable avec FL-022 (cle plate 16/17)</t>
  </si>
  <si>
    <t>Verifier physiquement les 2 references ; fusionner l'article dans l'arborescence si le doublon est confirme.</t>
  </si>
  <si>
    <t>FL-068 (nouveau)</t>
  </si>
  <si>
    <t>Machine decrite en detail dans le dossier de criticite initial mais absente du registre v2 (67 articles)</t>
  </si>
  <si>
    <t>Confirmer la presence physique de la machine au Fablab ; si confirmee, finaliser son entree dans l'inventaire officiel (photo, date d'acquisition, emplacement). Si non presente, retirer son profil de criticite ou le conserver comme 'projet d'acquisition'.</t>
  </si>
  <si>
    <t>FL-069 (nouveau)</t>
  </si>
  <si>
    <t>Imprimante 3D industrielle FDM/FFF (financement NATO SPS)</t>
  </si>
  <si>
    <t>Confirmer la presence physique de la machine au Fablab (financement NATO SPS documente) ; si confirmee, finaliser son entree dans l'inventaire officiel. Si non presente, retirer son profil de criticite ou le conserver comme 'projet d'acquisition'.</t>
  </si>
  <si>
    <t>Imprimante 3D resine Photocentric (FL-006)</t>
  </si>
  <si>
    <t>Nouveau profil de criticite cree pour cette revision (technologie resine jamais analysee auparavant)</t>
  </si>
  <si>
    <t>Faire valider les niveaux F/G/D estimes par le responsable technique apres une periode d'usage (retour d'experience).</t>
  </si>
  <si>
    <t>Sous 3 mois</t>
  </si>
  <si>
    <t>Imprimantes 3D FDM Creality (FL-003/004/005)</t>
  </si>
  <si>
    <t>Nouveau profil de criticite cree pour cette revision (groupe de 3 machines)</t>
  </si>
  <si>
    <t>Ajuster le profil de criticite individuellement pour chaque unite une fois le diagnostic (GM14) realise.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</si>
</sst>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i/>
      <sz val="10.0"/>
      <color rgb="FF404040"/>
      <name val="Arial"/>
    </font>
    <font>
      <b/>
      <sz val="12.0"/>
      <color rgb="FF1F4E78"/>
      <name val="Arial"/>
    </font>
    <font>
      <b/>
      <sz val="10.0"/>
      <color theme="1"/>
      <name val="Arial"/>
    </font>
    <font>
      <i/>
      <sz val="9.0"/>
      <color rgb="FF80808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8696B"/>
        <bgColor rgb="FFF8696B"/>
      </patternFill>
    </fill>
    <fill>
      <patternFill patternType="solid">
        <fgColor rgb="FFFFEB84"/>
        <bgColor rgb="FFFFEB84"/>
      </patternFill>
    </fill>
    <fill>
      <patternFill patternType="solid">
        <fgColor rgb="FFC6E0B4"/>
        <bgColor rgb="FFC6E0B4"/>
      </patternFill>
    </fill>
    <fill>
      <patternFill patternType="solid">
        <fgColor rgb="FFD9E2F3"/>
        <bgColor rgb="FFD9E2F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4" fillId="4" fontId="4" numFmtId="0" xfId="0" applyAlignment="1" applyBorder="1" applyFill="1" applyFont="1">
      <alignment shrinkToFit="0" vertical="top" wrapText="1"/>
    </xf>
    <xf borderId="4" fillId="5" fontId="4" numFmtId="0" xfId="0" applyAlignment="1" applyBorder="1" applyFill="1" applyFont="1">
      <alignment shrinkToFit="0" vertical="top" wrapText="1"/>
    </xf>
    <xf borderId="4" fillId="6" fontId="4" numFmtId="0" xfId="0" applyAlignment="1" applyBorder="1" applyFill="1" applyFont="1">
      <alignment shrinkToFit="0" vertical="top" wrapText="1"/>
    </xf>
    <xf borderId="4" fillId="7" fontId="7" numFmtId="0" xfId="0" applyAlignment="1" applyBorder="1" applyFill="1" applyFont="1">
      <alignment shrinkToFit="0" vertical="top" wrapText="1"/>
    </xf>
    <xf borderId="4" fillId="8" fontId="4" numFmtId="0" xfId="0" applyAlignment="1" applyBorder="1" applyFill="1" applyFont="1">
      <alignment shrinkToFit="0" vertical="top" wrapText="1"/>
    </xf>
    <xf borderId="4" fillId="9" fontId="4" numFmtId="0" xfId="0" applyAlignment="1" applyBorder="1" applyFill="1" applyFont="1">
      <alignment shrinkToFit="0" vertical="top" wrapText="1"/>
    </xf>
    <xf borderId="4" fillId="10" fontId="4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0" fontId="4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4" fillId="8" fontId="4" numFmtId="0" xfId="0" applyAlignment="1" applyBorder="1" applyFont="1">
      <alignment horizontal="center" shrinkToFit="0" vertical="center" wrapText="0"/>
    </xf>
    <xf borderId="4" fillId="8" fontId="7" numFmtId="0" xfId="0" applyAlignment="1" applyBorder="1" applyFont="1">
      <alignment horizontal="center" shrinkToFit="0" vertical="center" wrapText="0"/>
    </xf>
    <xf borderId="4" fillId="9" fontId="4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horizontal="center" shrinkToFit="0" vertical="center" wrapText="0"/>
    </xf>
    <xf borderId="4" fillId="10" fontId="4" numFmtId="0" xfId="0" applyAlignment="1" applyBorder="1" applyFont="1">
      <alignment horizontal="center" shrinkToFit="0" vertical="center" wrapText="0"/>
    </xf>
    <xf borderId="4" fillId="10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70.0"/>
    <col customWidth="1" min="3" max="3" width="30.0"/>
    <col customWidth="1" min="4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3"/>
    </row>
    <row r="3">
      <c r="A3" s="4" t="s">
        <v>1</v>
      </c>
      <c r="B3" s="4" t="s">
        <v>2</v>
      </c>
      <c r="C3" s="4" t="s">
        <v>3</v>
      </c>
    </row>
    <row r="4" ht="30.0" customHeight="1">
      <c r="A4" s="5" t="s">
        <v>4</v>
      </c>
      <c r="B4" s="5" t="s">
        <v>5</v>
      </c>
      <c r="C4" s="5" t="s">
        <v>6</v>
      </c>
    </row>
    <row r="5" ht="30.0" customHeight="1">
      <c r="A5" s="5" t="s">
        <v>7</v>
      </c>
      <c r="B5" s="5" t="s">
        <v>8</v>
      </c>
      <c r="C5" s="5" t="s">
        <v>9</v>
      </c>
    </row>
    <row r="6" ht="30.0" customHeight="1">
      <c r="A6" s="5" t="s">
        <v>10</v>
      </c>
      <c r="B6" s="5" t="s">
        <v>11</v>
      </c>
      <c r="C6" s="5" t="s">
        <v>6</v>
      </c>
    </row>
    <row r="7" ht="30.0" customHeight="1">
      <c r="A7" s="5" t="s">
        <v>12</v>
      </c>
      <c r="B7" s="5" t="s">
        <v>13</v>
      </c>
      <c r="C7" s="5" t="s">
        <v>14</v>
      </c>
    </row>
    <row r="8" ht="30.0" customHeight="1">
      <c r="A8" s="5" t="s">
        <v>15</v>
      </c>
      <c r="B8" s="5" t="s">
        <v>16</v>
      </c>
      <c r="C8" s="5" t="s">
        <v>17</v>
      </c>
    </row>
    <row r="9" ht="30.0" customHeight="1">
      <c r="A9" s="5" t="s">
        <v>18</v>
      </c>
      <c r="B9" s="5" t="s">
        <v>19</v>
      </c>
      <c r="C9" s="5" t="s">
        <v>20</v>
      </c>
    </row>
    <row r="10" ht="30.0" customHeight="1">
      <c r="A10" s="5" t="s">
        <v>21</v>
      </c>
      <c r="B10" s="5" t="s">
        <v>22</v>
      </c>
      <c r="C10" s="5" t="s">
        <v>23</v>
      </c>
    </row>
    <row r="11" ht="30.0" customHeight="1">
      <c r="A11" s="5" t="s">
        <v>24</v>
      </c>
      <c r="B11" s="5" t="s">
        <v>25</v>
      </c>
      <c r="C11" s="5" t="s">
        <v>23</v>
      </c>
    </row>
    <row r="12" ht="30.0" customHeight="1">
      <c r="A12" s="5" t="s">
        <v>26</v>
      </c>
      <c r="B12" s="5" t="s">
        <v>27</v>
      </c>
      <c r="C12" s="5" t="s">
        <v>23</v>
      </c>
    </row>
    <row r="13" ht="30.0" customHeight="1">
      <c r="A13" s="5" t="s">
        <v>28</v>
      </c>
      <c r="B13" s="5" t="s">
        <v>29</v>
      </c>
      <c r="C13" s="5" t="s">
        <v>17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4" width="45.0"/>
    <col customWidth="1" min="5" max="6" width="20.0"/>
    <col customWidth="1" min="7" max="26" width="8.71"/>
  </cols>
  <sheetData>
    <row r="1" ht="25.5" customHeight="1">
      <c r="A1" s="6" t="s">
        <v>30</v>
      </c>
      <c r="B1" s="2"/>
      <c r="C1" s="2"/>
      <c r="D1" s="2"/>
      <c r="E1" s="2"/>
      <c r="F1" s="3"/>
    </row>
    <row r="2" ht="27.75" customHeight="1">
      <c r="A2" s="7"/>
    </row>
    <row r="4">
      <c r="A4" s="8" t="s">
        <v>31</v>
      </c>
    </row>
    <row r="5" ht="27.75" customHeight="1">
      <c r="A5" s="9" t="s">
        <v>32</v>
      </c>
    </row>
    <row r="6">
      <c r="A6" s="4" t="s">
        <v>33</v>
      </c>
      <c r="B6" s="4" t="s">
        <v>34</v>
      </c>
      <c r="C6" s="4" t="s">
        <v>35</v>
      </c>
      <c r="D6" s="4" t="s">
        <v>36</v>
      </c>
    </row>
    <row r="7" ht="33.75" customHeight="1">
      <c r="A7" s="5" t="s">
        <v>37</v>
      </c>
      <c r="B7" s="5" t="s">
        <v>38</v>
      </c>
      <c r="C7" s="5" t="s">
        <v>39</v>
      </c>
      <c r="D7" s="5" t="s">
        <v>40</v>
      </c>
    </row>
    <row r="8" ht="33.75" customHeight="1">
      <c r="A8" s="5" t="s">
        <v>41</v>
      </c>
      <c r="B8" s="5" t="s">
        <v>42</v>
      </c>
      <c r="C8" s="5" t="s">
        <v>43</v>
      </c>
      <c r="D8" s="5" t="s">
        <v>44</v>
      </c>
    </row>
    <row r="10">
      <c r="A10" s="8" t="s">
        <v>45</v>
      </c>
    </row>
    <row r="11" ht="39.75" customHeight="1">
      <c r="A11" s="9" t="s">
        <v>46</v>
      </c>
    </row>
    <row r="12">
      <c r="A12" s="4" t="s">
        <v>47</v>
      </c>
      <c r="B12" s="4" t="s">
        <v>48</v>
      </c>
      <c r="C12" s="4" t="s">
        <v>49</v>
      </c>
      <c r="D12" s="4" t="s">
        <v>50</v>
      </c>
    </row>
    <row r="13">
      <c r="A13" s="5">
        <v>1.0</v>
      </c>
      <c r="B13" s="5" t="s">
        <v>51</v>
      </c>
      <c r="C13" s="5" t="s">
        <v>52</v>
      </c>
      <c r="D13" s="5" t="s">
        <v>53</v>
      </c>
    </row>
    <row r="14">
      <c r="A14" s="5">
        <v>2.0</v>
      </c>
      <c r="B14" s="5" t="s">
        <v>54</v>
      </c>
      <c r="C14" s="5" t="s">
        <v>55</v>
      </c>
      <c r="D14" s="5" t="s">
        <v>56</v>
      </c>
    </row>
    <row r="15">
      <c r="A15" s="5">
        <v>3.0</v>
      </c>
      <c r="B15" s="5" t="s">
        <v>57</v>
      </c>
      <c r="C15" s="5" t="s">
        <v>58</v>
      </c>
      <c r="D15" s="5" t="s">
        <v>59</v>
      </c>
    </row>
    <row r="16">
      <c r="A16" s="5">
        <v>4.0</v>
      </c>
      <c r="B16" s="5" t="s">
        <v>60</v>
      </c>
      <c r="C16" s="5" t="s">
        <v>61</v>
      </c>
      <c r="D16" s="5" t="s">
        <v>62</v>
      </c>
    </row>
    <row r="17">
      <c r="A17" s="5">
        <v>5.0</v>
      </c>
      <c r="B17" s="5" t="s">
        <v>63</v>
      </c>
      <c r="C17" s="5" t="s">
        <v>64</v>
      </c>
      <c r="D17" s="5" t="s">
        <v>65</v>
      </c>
    </row>
    <row r="19">
      <c r="A19" s="10" t="s">
        <v>66</v>
      </c>
    </row>
    <row r="20">
      <c r="A20" s="4" t="s">
        <v>67</v>
      </c>
      <c r="B20" s="4" t="s">
        <v>68</v>
      </c>
      <c r="C20" s="4" t="s">
        <v>69</v>
      </c>
      <c r="D20" s="4" t="s">
        <v>70</v>
      </c>
    </row>
    <row r="21" ht="15.75" customHeight="1">
      <c r="A21" s="11" t="s">
        <v>71</v>
      </c>
      <c r="B21" s="11" t="s">
        <v>72</v>
      </c>
      <c r="C21" s="11" t="s">
        <v>73</v>
      </c>
      <c r="D21" s="11" t="s">
        <v>74</v>
      </c>
    </row>
    <row r="22" ht="15.75" customHeight="1">
      <c r="A22" s="12" t="s">
        <v>75</v>
      </c>
      <c r="B22" s="12" t="s">
        <v>76</v>
      </c>
      <c r="C22" s="12" t="s">
        <v>77</v>
      </c>
      <c r="D22" s="12" t="s">
        <v>78</v>
      </c>
    </row>
    <row r="23" ht="15.75" customHeight="1">
      <c r="A23" s="13" t="s">
        <v>79</v>
      </c>
      <c r="B23" s="13" t="s">
        <v>80</v>
      </c>
      <c r="C23" s="13" t="s">
        <v>81</v>
      </c>
      <c r="D23" s="13" t="s">
        <v>82</v>
      </c>
    </row>
    <row r="24" ht="15.75" customHeight="1"/>
    <row r="25" ht="15.75" customHeight="1">
      <c r="A25" s="10" t="s">
        <v>83</v>
      </c>
    </row>
    <row r="26" ht="15.75" customHeight="1">
      <c r="A26" s="4" t="s">
        <v>33</v>
      </c>
      <c r="B26" s="4" t="s">
        <v>84</v>
      </c>
      <c r="C26" s="4" t="s">
        <v>85</v>
      </c>
      <c r="D26" s="4" t="s">
        <v>86</v>
      </c>
    </row>
    <row r="27" ht="15.75" customHeight="1">
      <c r="A27" s="5" t="s">
        <v>87</v>
      </c>
      <c r="B27" s="5" t="s">
        <v>88</v>
      </c>
      <c r="C27" s="5" t="s">
        <v>89</v>
      </c>
      <c r="D27" s="5" t="s">
        <v>90</v>
      </c>
    </row>
    <row r="28" ht="15.75" customHeight="1">
      <c r="A28" s="5" t="s">
        <v>91</v>
      </c>
      <c r="B28" s="5" t="s">
        <v>92</v>
      </c>
      <c r="C28" s="5" t="s">
        <v>93</v>
      </c>
      <c r="D28" s="5" t="s">
        <v>94</v>
      </c>
    </row>
    <row r="29" ht="15.75" customHeight="1">
      <c r="A29" s="5" t="s">
        <v>95</v>
      </c>
      <c r="B29" s="5" t="s">
        <v>96</v>
      </c>
      <c r="C29" s="5" t="s">
        <v>97</v>
      </c>
      <c r="D29" s="5" t="s">
        <v>98</v>
      </c>
    </row>
    <row r="30" ht="15.75" customHeight="1">
      <c r="A30" s="5" t="s">
        <v>99</v>
      </c>
      <c r="B30" s="5" t="s">
        <v>100</v>
      </c>
      <c r="C30" s="5" t="s">
        <v>101</v>
      </c>
      <c r="D30" s="5" t="s">
        <v>102</v>
      </c>
    </row>
    <row r="31" ht="15.75" customHeight="1">
      <c r="A31" s="5" t="s">
        <v>103</v>
      </c>
      <c r="B31" s="5" t="s">
        <v>104</v>
      </c>
      <c r="C31" s="5" t="s">
        <v>105</v>
      </c>
      <c r="D31" s="5" t="s">
        <v>106</v>
      </c>
    </row>
    <row r="32" ht="15.75" customHeight="1"/>
    <row r="33" ht="15.75" customHeight="1">
      <c r="A33" s="10" t="s">
        <v>107</v>
      </c>
    </row>
    <row r="34" ht="15.75" customHeight="1">
      <c r="A34" s="4" t="s">
        <v>108</v>
      </c>
      <c r="B34" s="4" t="s">
        <v>109</v>
      </c>
      <c r="C34" s="4" t="s">
        <v>110</v>
      </c>
      <c r="D34" s="4" t="s">
        <v>111</v>
      </c>
    </row>
    <row r="35" ht="27.75" customHeight="1">
      <c r="A35" s="5" t="s">
        <v>112</v>
      </c>
      <c r="B35" s="5" t="s">
        <v>113</v>
      </c>
      <c r="C35" s="5" t="s">
        <v>114</v>
      </c>
      <c r="D35" s="5" t="s">
        <v>115</v>
      </c>
    </row>
    <row r="36" ht="27.75" customHeight="1">
      <c r="A36" s="5" t="s">
        <v>116</v>
      </c>
      <c r="B36" s="5" t="s">
        <v>117</v>
      </c>
      <c r="C36" s="5" t="s">
        <v>118</v>
      </c>
      <c r="D36" s="5" t="s">
        <v>119</v>
      </c>
    </row>
    <row r="37" ht="27.75" customHeight="1">
      <c r="A37" s="5" t="s">
        <v>120</v>
      </c>
      <c r="B37" s="5" t="s">
        <v>121</v>
      </c>
      <c r="C37" s="5" t="s">
        <v>122</v>
      </c>
      <c r="D37" s="5" t="s">
        <v>123</v>
      </c>
    </row>
    <row r="38" ht="27.75" customHeight="1">
      <c r="A38" s="5" t="s">
        <v>124</v>
      </c>
      <c r="B38" s="5" t="s">
        <v>125</v>
      </c>
      <c r="C38" s="5" t="s">
        <v>126</v>
      </c>
      <c r="D38" s="5" t="s">
        <v>127</v>
      </c>
    </row>
    <row r="39" ht="27.75" customHeight="1">
      <c r="A39" s="5" t="s">
        <v>128</v>
      </c>
      <c r="B39" s="5" t="s">
        <v>129</v>
      </c>
      <c r="C39" s="5" t="s">
        <v>130</v>
      </c>
      <c r="D39" s="5" t="s">
        <v>131</v>
      </c>
    </row>
    <row r="40" ht="27.75" customHeight="1">
      <c r="A40" s="5" t="s">
        <v>132</v>
      </c>
      <c r="B40" s="5" t="s">
        <v>133</v>
      </c>
      <c r="C40" s="5" t="s">
        <v>134</v>
      </c>
      <c r="D40" s="5" t="s">
        <v>135</v>
      </c>
    </row>
    <row r="41" ht="27.75" customHeight="1">
      <c r="A41" s="5" t="s">
        <v>136</v>
      </c>
      <c r="B41" s="5" t="s">
        <v>137</v>
      </c>
      <c r="C41" s="5" t="s">
        <v>114</v>
      </c>
      <c r="D41" s="5" t="s">
        <v>138</v>
      </c>
    </row>
    <row r="42" ht="27.75" customHeight="1">
      <c r="A42" s="5" t="s">
        <v>139</v>
      </c>
      <c r="B42" s="5" t="s">
        <v>140</v>
      </c>
      <c r="C42" s="5" t="s">
        <v>141</v>
      </c>
      <c r="D42" s="5" t="s">
        <v>142</v>
      </c>
    </row>
    <row r="43" ht="27.75" customHeight="1">
      <c r="A43" s="5" t="s">
        <v>143</v>
      </c>
      <c r="B43" s="5" t="s">
        <v>144</v>
      </c>
      <c r="C43" s="5" t="s">
        <v>145</v>
      </c>
      <c r="D43" s="5" t="s">
        <v>146</v>
      </c>
    </row>
    <row r="44" ht="27.75" customHeight="1">
      <c r="A44" s="5" t="s">
        <v>147</v>
      </c>
      <c r="B44" s="5" t="s">
        <v>148</v>
      </c>
      <c r="C44" s="5" t="s">
        <v>149</v>
      </c>
      <c r="D44" s="5" t="s">
        <v>150</v>
      </c>
    </row>
    <row r="45" ht="27.75" customHeight="1">
      <c r="A45" s="5" t="s">
        <v>151</v>
      </c>
      <c r="B45" s="5" t="s">
        <v>152</v>
      </c>
      <c r="C45" s="5" t="s">
        <v>153</v>
      </c>
      <c r="D45" s="5" t="s">
        <v>154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5:F5"/>
    <mergeCell ref="A11:F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40.0"/>
    <col customWidth="1" min="3" max="3" width="16.0"/>
    <col customWidth="1" min="4" max="4" width="55.0"/>
    <col customWidth="1" min="5" max="5" width="10.0"/>
    <col customWidth="1" min="6" max="8" width="14.0"/>
    <col customWidth="1" min="9" max="26" width="8.71"/>
  </cols>
  <sheetData>
    <row r="1" ht="48.0" customHeight="1">
      <c r="A1" s="1" t="s">
        <v>155</v>
      </c>
      <c r="B1" s="2"/>
      <c r="C1" s="2"/>
      <c r="D1" s="2"/>
      <c r="E1" s="2"/>
      <c r="F1" s="2"/>
      <c r="G1" s="2"/>
      <c r="H1" s="3"/>
    </row>
    <row r="2" ht="27.75" customHeight="1">
      <c r="A2" s="7" t="s">
        <v>156</v>
      </c>
    </row>
    <row r="4">
      <c r="A4" s="4" t="s">
        <v>157</v>
      </c>
      <c r="B4" s="4" t="s">
        <v>158</v>
      </c>
      <c r="C4" s="4" t="s">
        <v>33</v>
      </c>
      <c r="D4" s="4" t="s">
        <v>159</v>
      </c>
      <c r="E4" s="4" t="s">
        <v>160</v>
      </c>
      <c r="F4" s="4" t="s">
        <v>161</v>
      </c>
      <c r="G4" s="4" t="s">
        <v>162</v>
      </c>
      <c r="H4" s="4" t="s">
        <v>163</v>
      </c>
    </row>
    <row r="5">
      <c r="A5" s="14" t="s">
        <v>164</v>
      </c>
      <c r="B5" s="14" t="s">
        <v>165</v>
      </c>
      <c r="C5" s="14" t="s">
        <v>166</v>
      </c>
      <c r="D5" s="14"/>
      <c r="E5" s="14"/>
      <c r="F5" s="14"/>
      <c r="G5" s="14"/>
      <c r="H5" s="14"/>
    </row>
    <row r="6">
      <c r="A6" s="14" t="s">
        <v>167</v>
      </c>
      <c r="B6" s="14" t="s">
        <v>168</v>
      </c>
      <c r="C6" s="14" t="s">
        <v>169</v>
      </c>
      <c r="D6" s="14"/>
      <c r="E6" s="14"/>
      <c r="F6" s="14"/>
      <c r="G6" s="14"/>
      <c r="H6" s="14"/>
    </row>
    <row r="7">
      <c r="A7" s="14" t="s">
        <v>170</v>
      </c>
      <c r="B7" s="14" t="s">
        <v>171</v>
      </c>
      <c r="C7" s="14" t="s">
        <v>172</v>
      </c>
      <c r="D7" s="14"/>
      <c r="E7" s="14"/>
      <c r="F7" s="14"/>
      <c r="G7" s="14"/>
      <c r="H7" s="14"/>
    </row>
    <row r="8">
      <c r="A8" s="14" t="s">
        <v>173</v>
      </c>
      <c r="B8" s="14" t="s">
        <v>174</v>
      </c>
      <c r="C8" s="14" t="s">
        <v>175</v>
      </c>
      <c r="D8" s="14"/>
      <c r="E8" s="14"/>
      <c r="F8" s="14"/>
      <c r="G8" s="14"/>
      <c r="H8" s="14"/>
    </row>
    <row r="9">
      <c r="A9" s="5" t="s">
        <v>176</v>
      </c>
      <c r="B9" s="5" t="s">
        <v>177</v>
      </c>
      <c r="C9" s="5" t="s">
        <v>178</v>
      </c>
      <c r="D9" s="5"/>
      <c r="E9" s="5">
        <v>2.0</v>
      </c>
      <c r="F9" s="5" t="s">
        <v>179</v>
      </c>
      <c r="G9" s="5" t="s">
        <v>180</v>
      </c>
      <c r="H9" s="5"/>
    </row>
    <row r="10">
      <c r="A10" s="5" t="s">
        <v>181</v>
      </c>
      <c r="B10" s="5" t="s">
        <v>182</v>
      </c>
      <c r="C10" s="5" t="s">
        <v>178</v>
      </c>
      <c r="D10" s="5"/>
      <c r="E10" s="5">
        <v>1.0</v>
      </c>
      <c r="F10" s="5" t="s">
        <v>179</v>
      </c>
      <c r="G10" s="5" t="s">
        <v>180</v>
      </c>
      <c r="H10" s="5"/>
    </row>
    <row r="11">
      <c r="A11" s="5" t="s">
        <v>183</v>
      </c>
      <c r="B11" s="5" t="s">
        <v>182</v>
      </c>
      <c r="C11" s="5" t="s">
        <v>178</v>
      </c>
      <c r="D11" s="5"/>
      <c r="E11" s="5">
        <v>1.0</v>
      </c>
      <c r="F11" s="5" t="s">
        <v>179</v>
      </c>
      <c r="G11" s="5" t="s">
        <v>180</v>
      </c>
      <c r="H11" s="5"/>
    </row>
    <row r="12">
      <c r="A12" s="5" t="s">
        <v>184</v>
      </c>
      <c r="B12" s="5" t="s">
        <v>185</v>
      </c>
      <c r="C12" s="5" t="s">
        <v>178</v>
      </c>
      <c r="D12" s="5"/>
      <c r="E12" s="5">
        <v>1.0</v>
      </c>
      <c r="F12" s="5" t="s">
        <v>179</v>
      </c>
      <c r="G12" s="5" t="s">
        <v>180</v>
      </c>
      <c r="H12" s="5"/>
    </row>
    <row r="13">
      <c r="A13" s="5" t="s">
        <v>186</v>
      </c>
      <c r="B13" s="5" t="s">
        <v>187</v>
      </c>
      <c r="C13" s="5" t="s">
        <v>178</v>
      </c>
      <c r="D13" s="5"/>
      <c r="E13" s="5">
        <v>2.0</v>
      </c>
      <c r="F13" s="5" t="s">
        <v>179</v>
      </c>
      <c r="G13" s="5" t="s">
        <v>180</v>
      </c>
      <c r="H13" s="5"/>
    </row>
    <row r="14">
      <c r="A14" s="5" t="s">
        <v>188</v>
      </c>
      <c r="B14" s="5" t="s">
        <v>189</v>
      </c>
      <c r="C14" s="5" t="s">
        <v>178</v>
      </c>
      <c r="D14" s="5" t="s">
        <v>190</v>
      </c>
      <c r="E14" s="5">
        <v>1.0</v>
      </c>
      <c r="F14" s="5" t="s">
        <v>179</v>
      </c>
      <c r="G14" s="5" t="s">
        <v>180</v>
      </c>
      <c r="H14" s="5"/>
    </row>
    <row r="15">
      <c r="A15" s="14" t="s">
        <v>191</v>
      </c>
      <c r="B15" s="14" t="s">
        <v>192</v>
      </c>
      <c r="C15" s="14" t="s">
        <v>175</v>
      </c>
      <c r="D15" s="14"/>
      <c r="E15" s="14"/>
      <c r="F15" s="14"/>
      <c r="G15" s="14"/>
      <c r="H15" s="14"/>
    </row>
    <row r="16">
      <c r="A16" s="5" t="s">
        <v>193</v>
      </c>
      <c r="B16" s="5" t="s">
        <v>194</v>
      </c>
      <c r="C16" s="5" t="s">
        <v>178</v>
      </c>
      <c r="D16" s="5" t="s">
        <v>195</v>
      </c>
      <c r="E16" s="5">
        <v>1.0</v>
      </c>
      <c r="F16" s="5" t="s">
        <v>179</v>
      </c>
      <c r="G16" s="5" t="s">
        <v>180</v>
      </c>
      <c r="H16" s="5"/>
    </row>
    <row r="17">
      <c r="A17" s="5" t="s">
        <v>196</v>
      </c>
      <c r="B17" s="5" t="s">
        <v>197</v>
      </c>
      <c r="C17" s="5" t="s">
        <v>178</v>
      </c>
      <c r="D17" s="5"/>
      <c r="E17" s="5">
        <v>1.0</v>
      </c>
      <c r="F17" s="5" t="s">
        <v>179</v>
      </c>
      <c r="G17" s="5" t="s">
        <v>180</v>
      </c>
      <c r="H17" s="5"/>
    </row>
    <row r="18">
      <c r="A18" s="14" t="s">
        <v>198</v>
      </c>
      <c r="B18" s="14" t="s">
        <v>199</v>
      </c>
      <c r="C18" s="14" t="s">
        <v>175</v>
      </c>
      <c r="D18" s="14"/>
      <c r="E18" s="14"/>
      <c r="F18" s="14"/>
      <c r="G18" s="14"/>
      <c r="H18" s="14"/>
    </row>
    <row r="19">
      <c r="A19" s="5" t="s">
        <v>200</v>
      </c>
      <c r="B19" s="5" t="s">
        <v>201</v>
      </c>
      <c r="C19" s="5" t="s">
        <v>178</v>
      </c>
      <c r="D19" s="5" t="s">
        <v>202</v>
      </c>
      <c r="E19" s="5">
        <v>1.0</v>
      </c>
      <c r="F19" s="5" t="s">
        <v>179</v>
      </c>
      <c r="G19" s="5" t="s">
        <v>180</v>
      </c>
      <c r="H19" s="5"/>
    </row>
    <row r="20">
      <c r="A20" s="14" t="s">
        <v>203</v>
      </c>
      <c r="B20" s="14" t="s">
        <v>204</v>
      </c>
      <c r="C20" s="14" t="s">
        <v>175</v>
      </c>
      <c r="D20" s="14"/>
      <c r="E20" s="14"/>
      <c r="F20" s="14"/>
      <c r="G20" s="14"/>
      <c r="H20" s="14"/>
    </row>
    <row r="21" ht="15.75" customHeight="1">
      <c r="A21" s="5" t="s">
        <v>205</v>
      </c>
      <c r="B21" s="5" t="s">
        <v>206</v>
      </c>
      <c r="C21" s="5" t="s">
        <v>178</v>
      </c>
      <c r="D21" s="5"/>
      <c r="E21" s="5">
        <v>1.0</v>
      </c>
      <c r="F21" s="5" t="s">
        <v>179</v>
      </c>
      <c r="G21" s="5" t="s">
        <v>180</v>
      </c>
      <c r="H21" s="5"/>
    </row>
    <row r="22" ht="15.75" customHeight="1">
      <c r="A22" s="5" t="s">
        <v>207</v>
      </c>
      <c r="B22" s="5" t="s">
        <v>208</v>
      </c>
      <c r="C22" s="5" t="s">
        <v>178</v>
      </c>
      <c r="D22" s="5" t="s">
        <v>209</v>
      </c>
      <c r="E22" s="5">
        <v>1.0</v>
      </c>
      <c r="F22" s="5" t="s">
        <v>179</v>
      </c>
      <c r="G22" s="5" t="s">
        <v>180</v>
      </c>
      <c r="H22" s="5"/>
    </row>
    <row r="23" ht="15.75" customHeight="1">
      <c r="A23" s="14" t="s">
        <v>210</v>
      </c>
      <c r="B23" s="14" t="s">
        <v>211</v>
      </c>
      <c r="C23" s="14" t="s">
        <v>175</v>
      </c>
      <c r="D23" s="14"/>
      <c r="E23" s="14"/>
      <c r="F23" s="14"/>
      <c r="G23" s="14"/>
      <c r="H23" s="14"/>
    </row>
    <row r="24" ht="15.75" customHeight="1">
      <c r="A24" s="5" t="s">
        <v>212</v>
      </c>
      <c r="B24" s="5" t="s">
        <v>213</v>
      </c>
      <c r="C24" s="5" t="s">
        <v>178</v>
      </c>
      <c r="D24" s="5"/>
      <c r="E24" s="5">
        <v>10.0</v>
      </c>
      <c r="F24" s="5" t="s">
        <v>179</v>
      </c>
      <c r="G24" s="5" t="s">
        <v>180</v>
      </c>
      <c r="H24" s="5"/>
    </row>
    <row r="25" ht="15.75" customHeight="1">
      <c r="A25" s="14" t="s">
        <v>214</v>
      </c>
      <c r="B25" s="14" t="s">
        <v>215</v>
      </c>
      <c r="C25" s="14" t="s">
        <v>172</v>
      </c>
      <c r="D25" s="14"/>
      <c r="E25" s="14"/>
      <c r="F25" s="14"/>
      <c r="G25" s="14"/>
      <c r="H25" s="14"/>
    </row>
    <row r="26" ht="15.75" customHeight="1">
      <c r="A26" s="14" t="s">
        <v>216</v>
      </c>
      <c r="B26" s="14" t="s">
        <v>217</v>
      </c>
      <c r="C26" s="14" t="s">
        <v>175</v>
      </c>
      <c r="D26" s="14"/>
      <c r="E26" s="14"/>
      <c r="F26" s="14"/>
      <c r="G26" s="14"/>
      <c r="H26" s="14"/>
    </row>
    <row r="27" ht="15.75" customHeight="1">
      <c r="A27" s="15" t="s">
        <v>218</v>
      </c>
      <c r="B27" s="15" t="s">
        <v>219</v>
      </c>
      <c r="C27" s="15" t="s">
        <v>178</v>
      </c>
      <c r="D27" s="15" t="s">
        <v>220</v>
      </c>
      <c r="E27" s="15">
        <v>1.0</v>
      </c>
      <c r="F27" s="15" t="s">
        <v>221</v>
      </c>
      <c r="G27" s="15" t="s">
        <v>222</v>
      </c>
      <c r="H27" s="15" t="s">
        <v>223</v>
      </c>
    </row>
    <row r="28" ht="15.75" customHeight="1">
      <c r="A28" s="16" t="s">
        <v>224</v>
      </c>
      <c r="B28" s="16" t="s">
        <v>225</v>
      </c>
      <c r="C28" s="16" t="s">
        <v>178</v>
      </c>
      <c r="D28" s="16"/>
      <c r="E28" s="16">
        <v>1.0</v>
      </c>
      <c r="F28" s="16" t="s">
        <v>226</v>
      </c>
      <c r="G28" s="16" t="s">
        <v>222</v>
      </c>
      <c r="H28" s="16" t="s">
        <v>227</v>
      </c>
    </row>
    <row r="29" ht="15.75" customHeight="1">
      <c r="A29" s="14" t="s">
        <v>228</v>
      </c>
      <c r="B29" s="14" t="s">
        <v>229</v>
      </c>
      <c r="C29" s="14" t="s">
        <v>175</v>
      </c>
      <c r="D29" s="14"/>
      <c r="E29" s="14"/>
      <c r="F29" s="14"/>
      <c r="G29" s="14"/>
      <c r="H29" s="14"/>
    </row>
    <row r="30" ht="15.75" customHeight="1">
      <c r="A30" s="5" t="s">
        <v>230</v>
      </c>
      <c r="B30" s="5" t="s">
        <v>231</v>
      </c>
      <c r="C30" s="5" t="s">
        <v>178</v>
      </c>
      <c r="D30" s="5" t="s">
        <v>220</v>
      </c>
      <c r="E30" s="5">
        <v>1.0</v>
      </c>
      <c r="F30" s="5" t="s">
        <v>179</v>
      </c>
      <c r="G30" s="5" t="s">
        <v>222</v>
      </c>
      <c r="H30" s="5" t="s">
        <v>232</v>
      </c>
    </row>
    <row r="31" ht="15.75" customHeight="1">
      <c r="A31" s="5" t="s">
        <v>233</v>
      </c>
      <c r="B31" s="5" t="s">
        <v>234</v>
      </c>
      <c r="C31" s="5" t="s">
        <v>178</v>
      </c>
      <c r="D31" s="5"/>
      <c r="E31" s="5">
        <v>1.0</v>
      </c>
      <c r="F31" s="5" t="s">
        <v>179</v>
      </c>
      <c r="G31" s="5" t="s">
        <v>222</v>
      </c>
      <c r="H31" s="5" t="s">
        <v>235</v>
      </c>
    </row>
    <row r="32" ht="15.75" customHeight="1">
      <c r="A32" s="14" t="s">
        <v>236</v>
      </c>
      <c r="B32" s="14" t="s">
        <v>237</v>
      </c>
      <c r="C32" s="14" t="s">
        <v>175</v>
      </c>
      <c r="D32" s="14"/>
      <c r="E32" s="14"/>
      <c r="F32" s="14"/>
      <c r="G32" s="14"/>
      <c r="H32" s="14"/>
    </row>
    <row r="33" ht="15.75" customHeight="1">
      <c r="A33" s="5" t="s">
        <v>238</v>
      </c>
      <c r="B33" s="5" t="s">
        <v>239</v>
      </c>
      <c r="C33" s="5" t="s">
        <v>178</v>
      </c>
      <c r="D33" s="5"/>
      <c r="E33" s="5">
        <v>1.0</v>
      </c>
      <c r="F33" s="5" t="s">
        <v>179</v>
      </c>
      <c r="G33" s="5" t="s">
        <v>180</v>
      </c>
      <c r="H33" s="5"/>
    </row>
    <row r="34" ht="15.75" customHeight="1">
      <c r="A34" s="14" t="s">
        <v>240</v>
      </c>
      <c r="B34" s="14" t="s">
        <v>241</v>
      </c>
      <c r="C34" s="14" t="s">
        <v>175</v>
      </c>
      <c r="D34" s="14"/>
      <c r="E34" s="14"/>
      <c r="F34" s="14"/>
      <c r="G34" s="14"/>
      <c r="H34" s="14"/>
    </row>
    <row r="35" ht="15.75" customHeight="1">
      <c r="A35" s="5" t="s">
        <v>242</v>
      </c>
      <c r="B35" s="5" t="s">
        <v>243</v>
      </c>
      <c r="C35" s="5" t="s">
        <v>178</v>
      </c>
      <c r="D35" s="5" t="s">
        <v>244</v>
      </c>
      <c r="E35" s="5">
        <v>1.0</v>
      </c>
      <c r="F35" s="5" t="s">
        <v>179</v>
      </c>
      <c r="G35" s="5" t="s">
        <v>180</v>
      </c>
      <c r="H35" s="5"/>
    </row>
    <row r="36" ht="15.75" customHeight="1">
      <c r="A36" s="16" t="s">
        <v>245</v>
      </c>
      <c r="B36" s="16" t="s">
        <v>246</v>
      </c>
      <c r="C36" s="16" t="s">
        <v>178</v>
      </c>
      <c r="D36" s="16"/>
      <c r="E36" s="16">
        <v>1.0</v>
      </c>
      <c r="F36" s="16" t="s">
        <v>226</v>
      </c>
      <c r="G36" s="16" t="s">
        <v>180</v>
      </c>
      <c r="H36" s="16"/>
    </row>
    <row r="37" ht="15.75" customHeight="1">
      <c r="A37" s="5" t="s">
        <v>247</v>
      </c>
      <c r="B37" s="5" t="s">
        <v>248</v>
      </c>
      <c r="C37" s="5" t="s">
        <v>178</v>
      </c>
      <c r="D37" s="5"/>
      <c r="E37" s="5">
        <v>1.0</v>
      </c>
      <c r="F37" s="5" t="s">
        <v>179</v>
      </c>
      <c r="G37" s="5" t="s">
        <v>180</v>
      </c>
      <c r="H37" s="5"/>
    </row>
    <row r="38" ht="15.75" customHeight="1">
      <c r="A38" s="5" t="s">
        <v>249</v>
      </c>
      <c r="B38" s="5" t="s">
        <v>250</v>
      </c>
      <c r="C38" s="5" t="s">
        <v>178</v>
      </c>
      <c r="D38" s="5" t="s">
        <v>251</v>
      </c>
      <c r="E38" s="5">
        <v>1.0</v>
      </c>
      <c r="F38" s="5" t="s">
        <v>179</v>
      </c>
      <c r="G38" s="5" t="s">
        <v>180</v>
      </c>
      <c r="H38" s="5"/>
    </row>
    <row r="39" ht="15.75" customHeight="1">
      <c r="A39" s="5" t="s">
        <v>252</v>
      </c>
      <c r="B39" s="5" t="s">
        <v>253</v>
      </c>
      <c r="C39" s="5" t="s">
        <v>178</v>
      </c>
      <c r="D39" s="5"/>
      <c r="E39" s="5">
        <v>1.0</v>
      </c>
      <c r="F39" s="5" t="s">
        <v>179</v>
      </c>
      <c r="G39" s="5" t="s">
        <v>180</v>
      </c>
      <c r="H39" s="5"/>
    </row>
    <row r="40" ht="15.75" customHeight="1">
      <c r="A40" s="14" t="s">
        <v>254</v>
      </c>
      <c r="B40" s="14" t="s">
        <v>255</v>
      </c>
      <c r="C40" s="14" t="s">
        <v>175</v>
      </c>
      <c r="D40" s="14"/>
      <c r="E40" s="14"/>
      <c r="F40" s="14"/>
      <c r="G40" s="14"/>
      <c r="H40" s="14"/>
    </row>
    <row r="41" ht="15.75" customHeight="1">
      <c r="A41" s="5" t="s">
        <v>256</v>
      </c>
      <c r="B41" s="5" t="s">
        <v>257</v>
      </c>
      <c r="C41" s="5" t="s">
        <v>178</v>
      </c>
      <c r="D41" s="5"/>
      <c r="E41" s="5">
        <v>1.0</v>
      </c>
      <c r="F41" s="5" t="s">
        <v>179</v>
      </c>
      <c r="G41" s="5" t="s">
        <v>180</v>
      </c>
      <c r="H41" s="5"/>
    </row>
    <row r="42" ht="15.75" customHeight="1">
      <c r="A42" s="14" t="s">
        <v>258</v>
      </c>
      <c r="B42" s="14" t="s">
        <v>259</v>
      </c>
      <c r="C42" s="14" t="s">
        <v>172</v>
      </c>
      <c r="D42" s="14"/>
      <c r="E42" s="14"/>
      <c r="F42" s="14"/>
      <c r="G42" s="14"/>
      <c r="H42" s="14"/>
    </row>
    <row r="43" ht="15.75" customHeight="1">
      <c r="A43" s="14" t="s">
        <v>260</v>
      </c>
      <c r="B43" s="14" t="s">
        <v>261</v>
      </c>
      <c r="C43" s="14" t="s">
        <v>175</v>
      </c>
      <c r="D43" s="14"/>
      <c r="E43" s="14"/>
      <c r="F43" s="14"/>
      <c r="G43" s="14"/>
      <c r="H43" s="14"/>
    </row>
    <row r="44" ht="15.75" customHeight="1">
      <c r="A44" s="15" t="s">
        <v>262</v>
      </c>
      <c r="B44" s="15" t="s">
        <v>263</v>
      </c>
      <c r="C44" s="15" t="s">
        <v>178</v>
      </c>
      <c r="D44" s="15" t="s">
        <v>264</v>
      </c>
      <c r="E44" s="15">
        <v>1.0</v>
      </c>
      <c r="F44" s="15" t="s">
        <v>221</v>
      </c>
      <c r="G44" s="15" t="s">
        <v>222</v>
      </c>
      <c r="H44" s="15" t="s">
        <v>265</v>
      </c>
    </row>
    <row r="45" ht="15.75" customHeight="1">
      <c r="A45" s="15" t="s">
        <v>266</v>
      </c>
      <c r="B45" s="15" t="s">
        <v>263</v>
      </c>
      <c r="C45" s="15" t="s">
        <v>178</v>
      </c>
      <c r="D45" s="15"/>
      <c r="E45" s="15">
        <v>1.0</v>
      </c>
      <c r="F45" s="15" t="s">
        <v>221</v>
      </c>
      <c r="G45" s="15" t="s">
        <v>222</v>
      </c>
      <c r="H45" s="15" t="s">
        <v>265</v>
      </c>
    </row>
    <row r="46" ht="15.75" customHeight="1">
      <c r="A46" s="15" t="s">
        <v>267</v>
      </c>
      <c r="B46" s="15" t="s">
        <v>263</v>
      </c>
      <c r="C46" s="15" t="s">
        <v>178</v>
      </c>
      <c r="D46" s="15"/>
      <c r="E46" s="15">
        <v>1.0</v>
      </c>
      <c r="F46" s="15" t="s">
        <v>221</v>
      </c>
      <c r="G46" s="15" t="s">
        <v>222</v>
      </c>
      <c r="H46" s="15" t="s">
        <v>265</v>
      </c>
    </row>
    <row r="47" ht="15.75" customHeight="1">
      <c r="A47" s="5" t="s">
        <v>268</v>
      </c>
      <c r="B47" s="5" t="s">
        <v>269</v>
      </c>
      <c r="C47" s="5" t="s">
        <v>178</v>
      </c>
      <c r="D47" s="5" t="s">
        <v>270</v>
      </c>
      <c r="E47" s="5">
        <v>1.0</v>
      </c>
      <c r="F47" s="5" t="s">
        <v>179</v>
      </c>
      <c r="G47" s="5" t="s">
        <v>222</v>
      </c>
      <c r="H47" s="5" t="s">
        <v>271</v>
      </c>
    </row>
    <row r="48" ht="15.75" customHeight="1">
      <c r="A48" s="17" t="s">
        <v>272</v>
      </c>
      <c r="B48" s="17" t="s">
        <v>273</v>
      </c>
      <c r="C48" s="17" t="s">
        <v>178</v>
      </c>
      <c r="D48" s="17"/>
      <c r="E48" s="17">
        <v>1.0</v>
      </c>
      <c r="F48" s="17" t="s">
        <v>274</v>
      </c>
      <c r="G48" s="17" t="s">
        <v>222</v>
      </c>
      <c r="H48" s="17" t="s">
        <v>275</v>
      </c>
    </row>
    <row r="49" ht="15.75" customHeight="1">
      <c r="A49" s="14" t="s">
        <v>276</v>
      </c>
      <c r="B49" s="14" t="s">
        <v>277</v>
      </c>
      <c r="C49" s="14" t="s">
        <v>175</v>
      </c>
      <c r="D49" s="14"/>
      <c r="E49" s="14"/>
      <c r="F49" s="14"/>
      <c r="G49" s="14"/>
      <c r="H49" s="14"/>
    </row>
    <row r="50" ht="15.75" customHeight="1">
      <c r="A50" s="16" t="s">
        <v>278</v>
      </c>
      <c r="B50" s="16" t="s">
        <v>279</v>
      </c>
      <c r="C50" s="16" t="s">
        <v>178</v>
      </c>
      <c r="D50" s="16"/>
      <c r="E50" s="16">
        <v>1.0</v>
      </c>
      <c r="F50" s="16" t="s">
        <v>226</v>
      </c>
      <c r="G50" s="16" t="s">
        <v>180</v>
      </c>
      <c r="H50" s="16"/>
    </row>
    <row r="51" ht="15.75" customHeight="1">
      <c r="A51" s="14" t="s">
        <v>280</v>
      </c>
      <c r="B51" s="14" t="s">
        <v>281</v>
      </c>
      <c r="C51" s="14" t="s">
        <v>175</v>
      </c>
      <c r="D51" s="14"/>
      <c r="E51" s="14"/>
      <c r="F51" s="14"/>
      <c r="G51" s="14"/>
      <c r="H51" s="14"/>
    </row>
    <row r="52" ht="15.75" customHeight="1">
      <c r="A52" s="17" t="s">
        <v>282</v>
      </c>
      <c r="B52" s="17" t="s">
        <v>283</v>
      </c>
      <c r="C52" s="17" t="s">
        <v>178</v>
      </c>
      <c r="D52" s="17"/>
      <c r="E52" s="17">
        <v>1.0</v>
      </c>
      <c r="F52" s="17" t="s">
        <v>274</v>
      </c>
      <c r="G52" s="17" t="s">
        <v>222</v>
      </c>
      <c r="H52" s="17" t="s">
        <v>284</v>
      </c>
    </row>
    <row r="53" ht="15.75" customHeight="1">
      <c r="A53" s="14" t="s">
        <v>285</v>
      </c>
      <c r="B53" s="14" t="s">
        <v>286</v>
      </c>
      <c r="C53" s="14" t="s">
        <v>172</v>
      </c>
      <c r="D53" s="14"/>
      <c r="E53" s="14"/>
      <c r="F53" s="14"/>
      <c r="G53" s="14"/>
      <c r="H53" s="14"/>
    </row>
    <row r="54" ht="15.75" customHeight="1">
      <c r="A54" s="14" t="s">
        <v>287</v>
      </c>
      <c r="B54" s="14" t="s">
        <v>288</v>
      </c>
      <c r="C54" s="14" t="s">
        <v>175</v>
      </c>
      <c r="D54" s="14"/>
      <c r="E54" s="14"/>
      <c r="F54" s="14"/>
      <c r="G54" s="14"/>
      <c r="H54" s="14"/>
    </row>
    <row r="55" ht="15.75" customHeight="1">
      <c r="A55" s="5" t="s">
        <v>289</v>
      </c>
      <c r="B55" s="5" t="s">
        <v>290</v>
      </c>
      <c r="C55" s="5" t="s">
        <v>178</v>
      </c>
      <c r="D55" s="5"/>
      <c r="E55" s="5">
        <v>7.0</v>
      </c>
      <c r="F55" s="5" t="s">
        <v>179</v>
      </c>
      <c r="G55" s="5" t="s">
        <v>180</v>
      </c>
      <c r="H55" s="5"/>
    </row>
    <row r="56" ht="15.75" customHeight="1">
      <c r="A56" s="14" t="s">
        <v>291</v>
      </c>
      <c r="B56" s="14" t="s">
        <v>292</v>
      </c>
      <c r="C56" s="14" t="s">
        <v>169</v>
      </c>
      <c r="D56" s="14"/>
      <c r="E56" s="14"/>
      <c r="F56" s="14"/>
      <c r="G56" s="14"/>
      <c r="H56" s="14"/>
    </row>
    <row r="57" ht="15.75" customHeight="1">
      <c r="A57" s="14" t="s">
        <v>293</v>
      </c>
      <c r="B57" s="14" t="s">
        <v>294</v>
      </c>
      <c r="C57" s="14" t="s">
        <v>172</v>
      </c>
      <c r="D57" s="14"/>
      <c r="E57" s="14"/>
      <c r="F57" s="14"/>
      <c r="G57" s="14"/>
      <c r="H57" s="14"/>
    </row>
    <row r="58" ht="15.75" customHeight="1">
      <c r="A58" s="14" t="s">
        <v>295</v>
      </c>
      <c r="B58" s="14" t="s">
        <v>296</v>
      </c>
      <c r="C58" s="14" t="s">
        <v>175</v>
      </c>
      <c r="D58" s="14"/>
      <c r="E58" s="14"/>
      <c r="F58" s="14"/>
      <c r="G58" s="14"/>
      <c r="H58" s="14"/>
    </row>
    <row r="59" ht="15.75" customHeight="1">
      <c r="A59" s="5" t="s">
        <v>297</v>
      </c>
      <c r="B59" s="5" t="s">
        <v>298</v>
      </c>
      <c r="C59" s="5" t="s">
        <v>178</v>
      </c>
      <c r="D59" s="5"/>
      <c r="E59" s="5">
        <v>1.0</v>
      </c>
      <c r="F59" s="5" t="s">
        <v>179</v>
      </c>
      <c r="G59" s="5" t="s">
        <v>180</v>
      </c>
      <c r="H59" s="5"/>
    </row>
    <row r="60" ht="15.75" customHeight="1">
      <c r="A60" s="14" t="s">
        <v>299</v>
      </c>
      <c r="B60" s="14" t="s">
        <v>300</v>
      </c>
      <c r="C60" s="14" t="s">
        <v>172</v>
      </c>
      <c r="D60" s="14"/>
      <c r="E60" s="14"/>
      <c r="F60" s="14"/>
      <c r="G60" s="14"/>
      <c r="H60" s="14"/>
    </row>
    <row r="61" ht="15.75" customHeight="1">
      <c r="A61" s="14" t="s">
        <v>301</v>
      </c>
      <c r="B61" s="14" t="s">
        <v>302</v>
      </c>
      <c r="C61" s="14" t="s">
        <v>175</v>
      </c>
      <c r="D61" s="14"/>
      <c r="E61" s="14"/>
      <c r="F61" s="14"/>
      <c r="G61" s="14"/>
      <c r="H61" s="14"/>
    </row>
    <row r="62" ht="15.75" customHeight="1">
      <c r="A62" s="5" t="s">
        <v>303</v>
      </c>
      <c r="B62" s="5" t="s">
        <v>304</v>
      </c>
      <c r="C62" s="5" t="s">
        <v>178</v>
      </c>
      <c r="D62" s="5" t="s">
        <v>305</v>
      </c>
      <c r="E62" s="5">
        <v>15.0</v>
      </c>
      <c r="F62" s="5" t="s">
        <v>179</v>
      </c>
      <c r="G62" s="5" t="s">
        <v>180</v>
      </c>
      <c r="H62" s="5"/>
    </row>
    <row r="63" ht="15.75" customHeight="1">
      <c r="A63" s="5" t="s">
        <v>306</v>
      </c>
      <c r="B63" s="5" t="s">
        <v>307</v>
      </c>
      <c r="C63" s="5" t="s">
        <v>178</v>
      </c>
      <c r="D63" s="5" t="s">
        <v>308</v>
      </c>
      <c r="E63" s="5">
        <v>10.0</v>
      </c>
      <c r="F63" s="5" t="s">
        <v>179</v>
      </c>
      <c r="G63" s="5" t="s">
        <v>180</v>
      </c>
      <c r="H63" s="5"/>
    </row>
    <row r="64" ht="15.75" customHeight="1">
      <c r="A64" s="5" t="s">
        <v>309</v>
      </c>
      <c r="B64" s="5" t="s">
        <v>310</v>
      </c>
      <c r="C64" s="5" t="s">
        <v>178</v>
      </c>
      <c r="D64" s="5" t="s">
        <v>311</v>
      </c>
      <c r="E64" s="5">
        <v>217.0</v>
      </c>
      <c r="F64" s="5" t="s">
        <v>179</v>
      </c>
      <c r="G64" s="5" t="s">
        <v>180</v>
      </c>
      <c r="H64" s="5"/>
    </row>
    <row r="65" ht="15.75" customHeight="1">
      <c r="A65" s="16" t="s">
        <v>312</v>
      </c>
      <c r="B65" s="16" t="s">
        <v>313</v>
      </c>
      <c r="C65" s="16" t="s">
        <v>178</v>
      </c>
      <c r="D65" s="16"/>
      <c r="E65" s="16"/>
      <c r="F65" s="16" t="s">
        <v>226</v>
      </c>
      <c r="G65" s="16" t="s">
        <v>180</v>
      </c>
      <c r="H65" s="16"/>
    </row>
    <row r="66" ht="15.75" customHeight="1">
      <c r="A66" s="14" t="s">
        <v>314</v>
      </c>
      <c r="B66" s="14" t="s">
        <v>315</v>
      </c>
      <c r="C66" s="14" t="s">
        <v>172</v>
      </c>
      <c r="D66" s="14"/>
      <c r="E66" s="14"/>
      <c r="F66" s="14"/>
      <c r="G66" s="14"/>
      <c r="H66" s="14"/>
    </row>
    <row r="67" ht="15.75" customHeight="1">
      <c r="A67" s="14" t="s">
        <v>316</v>
      </c>
      <c r="B67" s="14" t="s">
        <v>317</v>
      </c>
      <c r="C67" s="14" t="s">
        <v>175</v>
      </c>
      <c r="D67" s="14"/>
      <c r="E67" s="14"/>
      <c r="F67" s="14"/>
      <c r="G67" s="14"/>
      <c r="H67" s="14"/>
    </row>
    <row r="68" ht="15.75" customHeight="1">
      <c r="A68" s="5" t="s">
        <v>318</v>
      </c>
      <c r="B68" s="5" t="s">
        <v>319</v>
      </c>
      <c r="C68" s="5" t="s">
        <v>178</v>
      </c>
      <c r="D68" s="5" t="s">
        <v>320</v>
      </c>
      <c r="E68" s="5">
        <v>3.0</v>
      </c>
      <c r="F68" s="5" t="s">
        <v>179</v>
      </c>
      <c r="G68" s="5" t="s">
        <v>180</v>
      </c>
      <c r="H68" s="5"/>
    </row>
    <row r="69" ht="15.75" customHeight="1">
      <c r="A69" s="5" t="s">
        <v>321</v>
      </c>
      <c r="B69" s="5" t="s">
        <v>319</v>
      </c>
      <c r="C69" s="5" t="s">
        <v>178</v>
      </c>
      <c r="D69" s="5" t="s">
        <v>322</v>
      </c>
      <c r="E69" s="5">
        <v>2.0</v>
      </c>
      <c r="F69" s="5" t="s">
        <v>179</v>
      </c>
      <c r="G69" s="5" t="s">
        <v>180</v>
      </c>
      <c r="H69" s="5"/>
    </row>
    <row r="70" ht="15.75" customHeight="1">
      <c r="A70" s="5" t="s">
        <v>323</v>
      </c>
      <c r="B70" s="5" t="s">
        <v>319</v>
      </c>
      <c r="C70" s="5" t="s">
        <v>178</v>
      </c>
      <c r="D70" s="5" t="s">
        <v>324</v>
      </c>
      <c r="E70" s="5">
        <v>3.0</v>
      </c>
      <c r="F70" s="5" t="s">
        <v>179</v>
      </c>
      <c r="G70" s="5" t="s">
        <v>180</v>
      </c>
      <c r="H70" s="5"/>
    </row>
    <row r="71" ht="15.75" customHeight="1">
      <c r="A71" s="5" t="s">
        <v>325</v>
      </c>
      <c r="B71" s="5" t="s">
        <v>319</v>
      </c>
      <c r="C71" s="5" t="s">
        <v>178</v>
      </c>
      <c r="D71" s="5" t="s">
        <v>326</v>
      </c>
      <c r="E71" s="5">
        <v>1.0</v>
      </c>
      <c r="F71" s="5" t="s">
        <v>179</v>
      </c>
      <c r="G71" s="5" t="s">
        <v>180</v>
      </c>
      <c r="H71" s="5"/>
    </row>
    <row r="72" ht="15.75" customHeight="1">
      <c r="A72" s="5" t="s">
        <v>327</v>
      </c>
      <c r="B72" s="5" t="s">
        <v>319</v>
      </c>
      <c r="C72" s="5" t="s">
        <v>178</v>
      </c>
      <c r="D72" s="5" t="s">
        <v>328</v>
      </c>
      <c r="E72" s="5">
        <v>4.0</v>
      </c>
      <c r="F72" s="5" t="s">
        <v>179</v>
      </c>
      <c r="G72" s="5" t="s">
        <v>180</v>
      </c>
      <c r="H72" s="5"/>
    </row>
    <row r="73" ht="15.75" customHeight="1">
      <c r="A73" s="5" t="s">
        <v>329</v>
      </c>
      <c r="B73" s="5" t="s">
        <v>319</v>
      </c>
      <c r="C73" s="5" t="s">
        <v>178</v>
      </c>
      <c r="D73" s="5" t="s">
        <v>330</v>
      </c>
      <c r="E73" s="5">
        <v>1.0</v>
      </c>
      <c r="F73" s="5" t="s">
        <v>179</v>
      </c>
      <c r="G73" s="5" t="s">
        <v>180</v>
      </c>
      <c r="H73" s="5"/>
    </row>
    <row r="74" ht="15.75" customHeight="1">
      <c r="A74" s="14" t="s">
        <v>331</v>
      </c>
      <c r="B74" s="14" t="s">
        <v>332</v>
      </c>
      <c r="C74" s="14" t="s">
        <v>172</v>
      </c>
      <c r="D74" s="14"/>
      <c r="E74" s="14"/>
      <c r="F74" s="14"/>
      <c r="G74" s="14"/>
      <c r="H74" s="14"/>
    </row>
    <row r="75" ht="15.75" customHeight="1">
      <c r="A75" s="14" t="s">
        <v>333</v>
      </c>
      <c r="B75" s="14" t="s">
        <v>334</v>
      </c>
      <c r="C75" s="14" t="s">
        <v>175</v>
      </c>
      <c r="D75" s="14"/>
      <c r="E75" s="14"/>
      <c r="F75" s="14"/>
      <c r="G75" s="14"/>
      <c r="H75" s="14"/>
    </row>
    <row r="76" ht="15.75" customHeight="1">
      <c r="A76" s="5" t="s">
        <v>335</v>
      </c>
      <c r="B76" s="5" t="s">
        <v>336</v>
      </c>
      <c r="C76" s="5" t="s">
        <v>178</v>
      </c>
      <c r="D76" s="5"/>
      <c r="E76" s="5">
        <v>1.0</v>
      </c>
      <c r="F76" s="5" t="s">
        <v>179</v>
      </c>
      <c r="G76" s="5" t="s">
        <v>180</v>
      </c>
      <c r="H76" s="5"/>
    </row>
    <row r="77" ht="15.75" customHeight="1">
      <c r="A77" s="5" t="s">
        <v>337</v>
      </c>
      <c r="B77" s="5" t="s">
        <v>338</v>
      </c>
      <c r="C77" s="5" t="s">
        <v>178</v>
      </c>
      <c r="D77" s="5"/>
      <c r="E77" s="5">
        <v>1.0</v>
      </c>
      <c r="F77" s="5" t="s">
        <v>179</v>
      </c>
      <c r="G77" s="5" t="s">
        <v>180</v>
      </c>
      <c r="H77" s="5"/>
    </row>
    <row r="78" ht="15.75" customHeight="1">
      <c r="A78" s="5" t="s">
        <v>339</v>
      </c>
      <c r="B78" s="5" t="s">
        <v>340</v>
      </c>
      <c r="C78" s="5" t="s">
        <v>178</v>
      </c>
      <c r="D78" s="5"/>
      <c r="E78" s="5">
        <v>1.0</v>
      </c>
      <c r="F78" s="5" t="s">
        <v>179</v>
      </c>
      <c r="G78" s="5" t="s">
        <v>180</v>
      </c>
      <c r="H78" s="5"/>
    </row>
    <row r="79" ht="15.75" customHeight="1">
      <c r="A79" s="5" t="s">
        <v>341</v>
      </c>
      <c r="B79" s="5" t="s">
        <v>342</v>
      </c>
      <c r="C79" s="5" t="s">
        <v>178</v>
      </c>
      <c r="D79" s="5" t="s">
        <v>343</v>
      </c>
      <c r="E79" s="5">
        <v>1.0</v>
      </c>
      <c r="F79" s="5" t="s">
        <v>179</v>
      </c>
      <c r="G79" s="5" t="s">
        <v>180</v>
      </c>
      <c r="H79" s="5"/>
    </row>
    <row r="80" ht="15.75" customHeight="1">
      <c r="A80" s="5" t="s">
        <v>344</v>
      </c>
      <c r="B80" s="5" t="s">
        <v>342</v>
      </c>
      <c r="C80" s="5" t="s">
        <v>178</v>
      </c>
      <c r="D80" s="5" t="s">
        <v>345</v>
      </c>
      <c r="E80" s="5">
        <v>1.0</v>
      </c>
      <c r="F80" s="5" t="s">
        <v>179</v>
      </c>
      <c r="G80" s="5" t="s">
        <v>180</v>
      </c>
      <c r="H80" s="5"/>
    </row>
    <row r="81" ht="15.75" customHeight="1">
      <c r="A81" s="5" t="s">
        <v>346</v>
      </c>
      <c r="B81" s="5" t="s">
        <v>342</v>
      </c>
      <c r="C81" s="5" t="s">
        <v>178</v>
      </c>
      <c r="D81" s="5" t="s">
        <v>347</v>
      </c>
      <c r="E81" s="5">
        <v>1.0</v>
      </c>
      <c r="F81" s="5" t="s">
        <v>179</v>
      </c>
      <c r="G81" s="5" t="s">
        <v>180</v>
      </c>
      <c r="H81" s="5"/>
    </row>
    <row r="82" ht="15.75" customHeight="1">
      <c r="A82" s="5" t="s">
        <v>348</v>
      </c>
      <c r="B82" s="5" t="s">
        <v>342</v>
      </c>
      <c r="C82" s="5" t="s">
        <v>178</v>
      </c>
      <c r="D82" s="5" t="s">
        <v>349</v>
      </c>
      <c r="E82" s="5">
        <v>1.0</v>
      </c>
      <c r="F82" s="5" t="s">
        <v>179</v>
      </c>
      <c r="G82" s="5" t="s">
        <v>180</v>
      </c>
      <c r="H82" s="5"/>
    </row>
    <row r="83" ht="15.75" customHeight="1">
      <c r="A83" s="5" t="s">
        <v>350</v>
      </c>
      <c r="B83" s="5" t="s">
        <v>342</v>
      </c>
      <c r="C83" s="5" t="s">
        <v>178</v>
      </c>
      <c r="D83" s="5" t="s">
        <v>351</v>
      </c>
      <c r="E83" s="5">
        <v>1.0</v>
      </c>
      <c r="F83" s="5" t="s">
        <v>179</v>
      </c>
      <c r="G83" s="5" t="s">
        <v>180</v>
      </c>
      <c r="H83" s="5"/>
    </row>
    <row r="84" ht="15.75" customHeight="1">
      <c r="A84" s="5" t="s">
        <v>352</v>
      </c>
      <c r="B84" s="5" t="s">
        <v>353</v>
      </c>
      <c r="C84" s="5" t="s">
        <v>178</v>
      </c>
      <c r="D84" s="5" t="s">
        <v>354</v>
      </c>
      <c r="E84" s="5">
        <v>1.0</v>
      </c>
      <c r="F84" s="5" t="s">
        <v>179</v>
      </c>
      <c r="G84" s="5" t="s">
        <v>180</v>
      </c>
      <c r="H84" s="5"/>
    </row>
    <row r="85" ht="15.75" customHeight="1">
      <c r="A85" s="5" t="s">
        <v>355</v>
      </c>
      <c r="B85" s="5" t="s">
        <v>356</v>
      </c>
      <c r="C85" s="5" t="s">
        <v>178</v>
      </c>
      <c r="D85" s="5"/>
      <c r="E85" s="5">
        <v>1.0</v>
      </c>
      <c r="F85" s="5" t="s">
        <v>179</v>
      </c>
      <c r="G85" s="5" t="s">
        <v>180</v>
      </c>
      <c r="H85" s="5"/>
    </row>
    <row r="86" ht="15.75" customHeight="1">
      <c r="A86" s="5" t="s">
        <v>357</v>
      </c>
      <c r="B86" s="5" t="s">
        <v>358</v>
      </c>
      <c r="C86" s="5" t="s">
        <v>178</v>
      </c>
      <c r="D86" s="5" t="s">
        <v>359</v>
      </c>
      <c r="E86" s="5">
        <v>1.0</v>
      </c>
      <c r="F86" s="5" t="s">
        <v>179</v>
      </c>
      <c r="G86" s="5" t="s">
        <v>180</v>
      </c>
      <c r="H86" s="5"/>
    </row>
    <row r="87" ht="15.75" customHeight="1">
      <c r="A87" s="5" t="s">
        <v>360</v>
      </c>
      <c r="B87" s="5" t="s">
        <v>361</v>
      </c>
      <c r="C87" s="5" t="s">
        <v>178</v>
      </c>
      <c r="D87" s="5"/>
      <c r="E87" s="5">
        <v>1.0</v>
      </c>
      <c r="F87" s="5" t="s">
        <v>179</v>
      </c>
      <c r="G87" s="5" t="s">
        <v>180</v>
      </c>
      <c r="H87" s="5"/>
    </row>
    <row r="88" ht="15.75" customHeight="1">
      <c r="A88" s="5" t="s">
        <v>362</v>
      </c>
      <c r="B88" s="5" t="s">
        <v>363</v>
      </c>
      <c r="C88" s="5" t="s">
        <v>178</v>
      </c>
      <c r="D88" s="5"/>
      <c r="E88" s="5">
        <v>1.0</v>
      </c>
      <c r="F88" s="5" t="s">
        <v>179</v>
      </c>
      <c r="G88" s="5" t="s">
        <v>180</v>
      </c>
      <c r="H88" s="5"/>
    </row>
    <row r="89" ht="15.75" customHeight="1">
      <c r="A89" s="5" t="s">
        <v>364</v>
      </c>
      <c r="B89" s="5" t="s">
        <v>365</v>
      </c>
      <c r="C89" s="5" t="s">
        <v>178</v>
      </c>
      <c r="D89" s="5"/>
      <c r="E89" s="5">
        <v>1.0</v>
      </c>
      <c r="F89" s="5" t="s">
        <v>179</v>
      </c>
      <c r="G89" s="5" t="s">
        <v>180</v>
      </c>
      <c r="H89" s="5"/>
    </row>
    <row r="90" ht="15.75" customHeight="1">
      <c r="A90" s="5" t="s">
        <v>366</v>
      </c>
      <c r="B90" s="5" t="s">
        <v>367</v>
      </c>
      <c r="C90" s="5" t="s">
        <v>178</v>
      </c>
      <c r="D90" s="5"/>
      <c r="E90" s="5">
        <v>1.0</v>
      </c>
      <c r="F90" s="5" t="s">
        <v>179</v>
      </c>
      <c r="G90" s="5" t="s">
        <v>180</v>
      </c>
      <c r="H90" s="5"/>
    </row>
    <row r="91" ht="15.75" customHeight="1">
      <c r="A91" s="5" t="s">
        <v>368</v>
      </c>
      <c r="B91" s="5" t="s">
        <v>369</v>
      </c>
      <c r="C91" s="5" t="s">
        <v>178</v>
      </c>
      <c r="D91" s="5"/>
      <c r="E91" s="5">
        <v>1.0</v>
      </c>
      <c r="F91" s="5" t="s">
        <v>179</v>
      </c>
      <c r="G91" s="5" t="s">
        <v>180</v>
      </c>
      <c r="H91" s="5"/>
    </row>
    <row r="92" ht="15.75" customHeight="1">
      <c r="A92" s="5" t="s">
        <v>370</v>
      </c>
      <c r="B92" s="5" t="s">
        <v>371</v>
      </c>
      <c r="C92" s="5" t="s">
        <v>178</v>
      </c>
      <c r="D92" s="5"/>
      <c r="E92" s="5">
        <v>1.0</v>
      </c>
      <c r="F92" s="5" t="s">
        <v>179</v>
      </c>
      <c r="G92" s="5" t="s">
        <v>180</v>
      </c>
      <c r="H92" s="5"/>
    </row>
    <row r="93" ht="15.75" customHeight="1">
      <c r="A93" s="5" t="s">
        <v>372</v>
      </c>
      <c r="B93" s="5" t="s">
        <v>373</v>
      </c>
      <c r="C93" s="5" t="s">
        <v>178</v>
      </c>
      <c r="D93" s="5"/>
      <c r="E93" s="5">
        <v>1.0</v>
      </c>
      <c r="F93" s="5" t="s">
        <v>179</v>
      </c>
      <c r="G93" s="5" t="s">
        <v>180</v>
      </c>
      <c r="H93" s="5"/>
    </row>
    <row r="94" ht="15.75" customHeight="1">
      <c r="A94" s="14" t="s">
        <v>374</v>
      </c>
      <c r="B94" s="14" t="s">
        <v>375</v>
      </c>
      <c r="C94" s="14" t="s">
        <v>175</v>
      </c>
      <c r="D94" s="14"/>
      <c r="E94" s="14"/>
      <c r="F94" s="14"/>
      <c r="G94" s="14"/>
      <c r="H94" s="14"/>
    </row>
    <row r="95" ht="15.75" customHeight="1">
      <c r="A95" s="5" t="s">
        <v>376</v>
      </c>
      <c r="B95" s="5" t="s">
        <v>377</v>
      </c>
      <c r="C95" s="5" t="s">
        <v>178</v>
      </c>
      <c r="D95" s="5"/>
      <c r="E95" s="5">
        <v>1.0</v>
      </c>
      <c r="F95" s="5" t="s">
        <v>179</v>
      </c>
      <c r="G95" s="5" t="s">
        <v>180</v>
      </c>
      <c r="H95" s="5"/>
    </row>
    <row r="96" ht="15.75" customHeight="1">
      <c r="A96" s="5" t="s">
        <v>378</v>
      </c>
      <c r="B96" s="5" t="s">
        <v>379</v>
      </c>
      <c r="C96" s="5" t="s">
        <v>178</v>
      </c>
      <c r="D96" s="5" t="s">
        <v>380</v>
      </c>
      <c r="E96" s="5">
        <v>2.0</v>
      </c>
      <c r="F96" s="5" t="s">
        <v>179</v>
      </c>
      <c r="G96" s="5" t="s">
        <v>180</v>
      </c>
      <c r="H96" s="5"/>
    </row>
    <row r="97" ht="15.75" customHeight="1">
      <c r="A97" s="14" t="s">
        <v>381</v>
      </c>
      <c r="B97" s="14" t="s">
        <v>382</v>
      </c>
      <c r="C97" s="14" t="s">
        <v>172</v>
      </c>
      <c r="D97" s="14"/>
      <c r="E97" s="14"/>
      <c r="F97" s="14"/>
      <c r="G97" s="14"/>
      <c r="H97" s="14"/>
    </row>
    <row r="98" ht="15.75" customHeight="1">
      <c r="A98" s="14" t="s">
        <v>383</v>
      </c>
      <c r="B98" s="14" t="s">
        <v>384</v>
      </c>
      <c r="C98" s="14" t="s">
        <v>175</v>
      </c>
      <c r="D98" s="14"/>
      <c r="E98" s="14"/>
      <c r="F98" s="14"/>
      <c r="G98" s="14"/>
      <c r="H98" s="14"/>
    </row>
    <row r="99" ht="15.75" customHeight="1">
      <c r="A99" s="5" t="s">
        <v>385</v>
      </c>
      <c r="B99" s="5" t="s">
        <v>386</v>
      </c>
      <c r="C99" s="5" t="s">
        <v>178</v>
      </c>
      <c r="D99" s="5" t="s">
        <v>387</v>
      </c>
      <c r="E99" s="5">
        <v>2.0</v>
      </c>
      <c r="F99" s="5" t="s">
        <v>179</v>
      </c>
      <c r="G99" s="5" t="s">
        <v>180</v>
      </c>
      <c r="H99" s="5"/>
    </row>
    <row r="100" ht="15.75" customHeight="1">
      <c r="A100" s="5" t="s">
        <v>388</v>
      </c>
      <c r="B100" s="5" t="s">
        <v>386</v>
      </c>
      <c r="C100" s="5" t="s">
        <v>178</v>
      </c>
      <c r="D100" s="5" t="s">
        <v>322</v>
      </c>
      <c r="E100" s="5">
        <v>1.0</v>
      </c>
      <c r="F100" s="5" t="s">
        <v>179</v>
      </c>
      <c r="G100" s="5" t="s">
        <v>180</v>
      </c>
      <c r="H100" s="5"/>
    </row>
    <row r="101" ht="15.75" customHeight="1">
      <c r="A101" s="5" t="s">
        <v>389</v>
      </c>
      <c r="B101" s="5" t="s">
        <v>386</v>
      </c>
      <c r="C101" s="5" t="s">
        <v>178</v>
      </c>
      <c r="D101" s="5" t="s">
        <v>390</v>
      </c>
      <c r="E101" s="5">
        <v>1.0</v>
      </c>
      <c r="F101" s="5" t="s">
        <v>179</v>
      </c>
      <c r="G101" s="5" t="s">
        <v>180</v>
      </c>
      <c r="H101" s="5"/>
    </row>
    <row r="102" ht="15.75" customHeight="1">
      <c r="A102" s="5" t="s">
        <v>391</v>
      </c>
      <c r="B102" s="5" t="s">
        <v>386</v>
      </c>
      <c r="C102" s="5" t="s">
        <v>178</v>
      </c>
      <c r="D102" s="5" t="s">
        <v>330</v>
      </c>
      <c r="E102" s="5">
        <v>2.0</v>
      </c>
      <c r="F102" s="5" t="s">
        <v>179</v>
      </c>
      <c r="G102" s="5" t="s">
        <v>180</v>
      </c>
      <c r="H102" s="5"/>
    </row>
    <row r="103" ht="15.75" customHeight="1">
      <c r="A103" s="14" t="s">
        <v>392</v>
      </c>
      <c r="B103" s="14" t="s">
        <v>393</v>
      </c>
      <c r="C103" s="14" t="s">
        <v>169</v>
      </c>
      <c r="D103" s="14"/>
      <c r="E103" s="14"/>
      <c r="F103" s="14"/>
      <c r="G103" s="14"/>
      <c r="H103" s="14"/>
    </row>
    <row r="104" ht="15.75" customHeight="1">
      <c r="A104" s="14" t="s">
        <v>394</v>
      </c>
      <c r="B104" s="14" t="s">
        <v>395</v>
      </c>
      <c r="C104" s="14" t="s">
        <v>172</v>
      </c>
      <c r="D104" s="14"/>
      <c r="E104" s="14"/>
      <c r="F104" s="14"/>
      <c r="G104" s="14"/>
      <c r="H104" s="14"/>
    </row>
    <row r="105" ht="15.75" customHeight="1">
      <c r="A105" s="16" t="s">
        <v>396</v>
      </c>
      <c r="B105" s="16" t="s">
        <v>397</v>
      </c>
      <c r="C105" s="16" t="s">
        <v>178</v>
      </c>
      <c r="D105" s="16"/>
      <c r="E105" s="16">
        <v>2.0</v>
      </c>
      <c r="F105" s="16" t="s">
        <v>226</v>
      </c>
      <c r="G105" s="16" t="s">
        <v>180</v>
      </c>
      <c r="H105" s="16"/>
    </row>
    <row r="106" ht="15.75" customHeight="1">
      <c r="A106" s="14" t="s">
        <v>398</v>
      </c>
      <c r="B106" s="14" t="s">
        <v>399</v>
      </c>
      <c r="C106" s="14" t="s">
        <v>172</v>
      </c>
      <c r="D106" s="14"/>
      <c r="E106" s="14"/>
      <c r="F106" s="14"/>
      <c r="G106" s="14"/>
      <c r="H106" s="14"/>
    </row>
    <row r="107" ht="15.75" customHeight="1">
      <c r="A107" s="5" t="s">
        <v>400</v>
      </c>
      <c r="B107" s="5" t="s">
        <v>401</v>
      </c>
      <c r="C107" s="5" t="s">
        <v>178</v>
      </c>
      <c r="D107" s="5"/>
      <c r="E107" s="5">
        <v>1.0</v>
      </c>
      <c r="F107" s="5" t="s">
        <v>179</v>
      </c>
      <c r="G107" s="5" t="s">
        <v>180</v>
      </c>
      <c r="H107" s="5"/>
    </row>
    <row r="108" ht="15.75" customHeight="1">
      <c r="A108" s="14" t="s">
        <v>402</v>
      </c>
      <c r="B108" s="14" t="s">
        <v>403</v>
      </c>
      <c r="C108" s="14" t="s">
        <v>169</v>
      </c>
      <c r="D108" s="14"/>
      <c r="E108" s="14"/>
      <c r="F108" s="14"/>
      <c r="G108" s="14"/>
      <c r="H108" s="14"/>
    </row>
    <row r="109" ht="15.75" customHeight="1">
      <c r="A109" s="14" t="s">
        <v>404</v>
      </c>
      <c r="B109" s="14" t="s">
        <v>405</v>
      </c>
      <c r="C109" s="14" t="s">
        <v>172</v>
      </c>
      <c r="D109" s="14"/>
      <c r="E109" s="14"/>
      <c r="F109" s="14"/>
      <c r="G109" s="14"/>
      <c r="H109" s="14"/>
    </row>
    <row r="110" ht="15.75" customHeight="1">
      <c r="A110" s="16" t="s">
        <v>406</v>
      </c>
      <c r="B110" s="16" t="s">
        <v>407</v>
      </c>
      <c r="C110" s="16" t="s">
        <v>178</v>
      </c>
      <c r="D110" s="16" t="s">
        <v>408</v>
      </c>
      <c r="E110" s="16">
        <v>2.0</v>
      </c>
      <c r="F110" s="16" t="s">
        <v>226</v>
      </c>
      <c r="G110" s="16" t="s">
        <v>180</v>
      </c>
      <c r="H110" s="16"/>
    </row>
    <row r="111" ht="15.75" customHeight="1"/>
    <row r="112" ht="15.75" customHeight="1">
      <c r="A112" s="18" t="s">
        <v>409</v>
      </c>
      <c r="E112" s="18">
        <f>SUM(E5:E110)</f>
        <v>337</v>
      </c>
    </row>
    <row r="113" ht="15.75" customHeight="1">
      <c r="A113" s="18" t="s">
        <v>410</v>
      </c>
      <c r="E113" s="18">
        <f>COUNTIF(A5:A110,"FL-*")</f>
        <v>69</v>
      </c>
    </row>
    <row r="114" ht="15.75" customHeight="1">
      <c r="A114" s="19" t="s">
        <v>411</v>
      </c>
      <c r="E114" s="19">
        <f>COUNTIF(F5:F110,"A confirmer")</f>
        <v>2</v>
      </c>
    </row>
    <row r="115" ht="15.75" customHeight="1">
      <c r="A115" s="19" t="s">
        <v>412</v>
      </c>
      <c r="E115" s="19">
        <f>COUNTIF(F5:F110,"Hors service")</f>
        <v>4</v>
      </c>
    </row>
    <row r="116" ht="15.75" customHeight="1">
      <c r="A116" s="19" t="s">
        <v>413</v>
      </c>
      <c r="E116" s="19">
        <f>COUNTIF(F5:F110,"Non renseigne")</f>
        <v>6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18.0"/>
    <col customWidth="1" min="4" max="5" width="22.0"/>
    <col customWidth="1" min="6" max="6" width="42.0"/>
    <col customWidth="1" min="7" max="7" width="24.0"/>
    <col customWidth="1" min="8" max="8" width="20.0"/>
    <col customWidth="1" min="9" max="9" width="46.0"/>
    <col customWidth="1" min="10" max="26" width="8.71"/>
  </cols>
  <sheetData>
    <row r="1" ht="42.0" customHeight="1">
      <c r="A1" s="6" t="s">
        <v>414</v>
      </c>
      <c r="B1" s="2"/>
      <c r="C1" s="2"/>
      <c r="D1" s="2"/>
      <c r="E1" s="2"/>
      <c r="F1" s="2"/>
      <c r="G1" s="2"/>
      <c r="H1" s="2"/>
      <c r="I1" s="3"/>
    </row>
    <row r="2" ht="27.75" customHeight="1">
      <c r="A2" s="7" t="s">
        <v>415</v>
      </c>
    </row>
    <row r="4">
      <c r="A4" s="4" t="s">
        <v>416</v>
      </c>
      <c r="B4" s="4" t="s">
        <v>178</v>
      </c>
      <c r="C4" s="4" t="s">
        <v>417</v>
      </c>
      <c r="D4" s="4" t="s">
        <v>418</v>
      </c>
      <c r="E4" s="4" t="s">
        <v>419</v>
      </c>
      <c r="F4" s="4" t="s">
        <v>420</v>
      </c>
      <c r="G4" s="4" t="s">
        <v>421</v>
      </c>
      <c r="H4" s="4" t="s">
        <v>422</v>
      </c>
      <c r="I4" s="4" t="s">
        <v>423</v>
      </c>
    </row>
    <row r="5" ht="45.75" customHeight="1">
      <c r="A5" s="5" t="s">
        <v>235</v>
      </c>
      <c r="B5" s="5" t="s">
        <v>424</v>
      </c>
      <c r="C5" s="5" t="s">
        <v>233</v>
      </c>
      <c r="D5" s="5" t="s">
        <v>425</v>
      </c>
      <c r="E5" s="5" t="s">
        <v>426</v>
      </c>
      <c r="F5" s="5" t="s">
        <v>427</v>
      </c>
      <c r="G5" s="5" t="s">
        <v>428</v>
      </c>
      <c r="H5" s="5" t="s">
        <v>429</v>
      </c>
      <c r="I5" s="5" t="s">
        <v>430</v>
      </c>
    </row>
    <row r="6" ht="45.75" customHeight="1">
      <c r="A6" s="5" t="s">
        <v>232</v>
      </c>
      <c r="B6" s="5" t="s">
        <v>431</v>
      </c>
      <c r="C6" s="5" t="s">
        <v>230</v>
      </c>
      <c r="D6" s="5" t="s">
        <v>432</v>
      </c>
      <c r="E6" s="5" t="s">
        <v>433</v>
      </c>
      <c r="F6" s="5" t="s">
        <v>434</v>
      </c>
      <c r="G6" s="5" t="s">
        <v>428</v>
      </c>
      <c r="H6" s="5" t="s">
        <v>435</v>
      </c>
      <c r="I6" s="5" t="s">
        <v>436</v>
      </c>
    </row>
    <row r="7" ht="45.75" customHeight="1">
      <c r="A7" s="17" t="s">
        <v>275</v>
      </c>
      <c r="B7" s="17" t="s">
        <v>437</v>
      </c>
      <c r="C7" s="17" t="s">
        <v>438</v>
      </c>
      <c r="D7" s="17" t="s">
        <v>439</v>
      </c>
      <c r="E7" s="17" t="s">
        <v>440</v>
      </c>
      <c r="F7" s="17" t="s">
        <v>441</v>
      </c>
      <c r="G7" s="17" t="s">
        <v>259</v>
      </c>
      <c r="H7" s="17" t="s">
        <v>442</v>
      </c>
      <c r="I7" s="17" t="s">
        <v>443</v>
      </c>
    </row>
    <row r="8" ht="45.75" customHeight="1">
      <c r="A8" s="15" t="s">
        <v>223</v>
      </c>
      <c r="B8" s="15" t="s">
        <v>219</v>
      </c>
      <c r="C8" s="15" t="s">
        <v>218</v>
      </c>
      <c r="D8" s="15" t="s">
        <v>444</v>
      </c>
      <c r="E8" s="15" t="s">
        <v>433</v>
      </c>
      <c r="F8" s="15" t="s">
        <v>445</v>
      </c>
      <c r="G8" s="15" t="s">
        <v>446</v>
      </c>
      <c r="H8" s="15" t="s">
        <v>444</v>
      </c>
      <c r="I8" s="15" t="s">
        <v>447</v>
      </c>
    </row>
    <row r="9" ht="45.75" customHeight="1">
      <c r="A9" s="16" t="s">
        <v>227</v>
      </c>
      <c r="B9" s="16" t="s">
        <v>225</v>
      </c>
      <c r="C9" s="16" t="s">
        <v>224</v>
      </c>
      <c r="D9" s="16" t="s">
        <v>448</v>
      </c>
      <c r="E9" s="16" t="s">
        <v>444</v>
      </c>
      <c r="F9" s="16" t="s">
        <v>445</v>
      </c>
      <c r="G9" s="16" t="s">
        <v>446</v>
      </c>
      <c r="H9" s="16" t="s">
        <v>444</v>
      </c>
      <c r="I9" s="16" t="s">
        <v>449</v>
      </c>
    </row>
    <row r="10" ht="45.75" customHeight="1">
      <c r="A10" s="17" t="s">
        <v>284</v>
      </c>
      <c r="B10" s="17" t="s">
        <v>283</v>
      </c>
      <c r="C10" s="17" t="s">
        <v>450</v>
      </c>
      <c r="D10" s="17" t="s">
        <v>451</v>
      </c>
      <c r="E10" s="17" t="s">
        <v>452</v>
      </c>
      <c r="F10" s="17" t="s">
        <v>453</v>
      </c>
      <c r="G10" s="17" t="s">
        <v>259</v>
      </c>
      <c r="H10" s="17" t="s">
        <v>454</v>
      </c>
      <c r="I10" s="17" t="s">
        <v>443</v>
      </c>
    </row>
    <row r="11" ht="45.75" customHeight="1">
      <c r="A11" s="5" t="s">
        <v>271</v>
      </c>
      <c r="B11" s="5" t="s">
        <v>269</v>
      </c>
      <c r="C11" s="5" t="s">
        <v>268</v>
      </c>
      <c r="D11" s="5" t="s">
        <v>444</v>
      </c>
      <c r="E11" s="5" t="s">
        <v>270</v>
      </c>
      <c r="F11" s="5" t="s">
        <v>455</v>
      </c>
      <c r="G11" s="5" t="s">
        <v>259</v>
      </c>
      <c r="H11" s="5" t="s">
        <v>456</v>
      </c>
      <c r="I11" s="5" t="s">
        <v>457</v>
      </c>
    </row>
    <row r="12" ht="45.75" customHeight="1">
      <c r="A12" s="15" t="s">
        <v>265</v>
      </c>
      <c r="B12" s="15" t="s">
        <v>458</v>
      </c>
      <c r="C12" s="15" t="s">
        <v>459</v>
      </c>
      <c r="D12" s="15" t="s">
        <v>444</v>
      </c>
      <c r="E12" s="15" t="s">
        <v>264</v>
      </c>
      <c r="F12" s="15" t="s">
        <v>460</v>
      </c>
      <c r="G12" s="15" t="s">
        <v>259</v>
      </c>
      <c r="H12" s="15" t="s">
        <v>461</v>
      </c>
      <c r="I12" s="15" t="s">
        <v>462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10.0"/>
    <col customWidth="1" min="4" max="4" width="26.0"/>
    <col customWidth="1" min="5" max="5" width="40.0"/>
    <col customWidth="1" min="6" max="8" width="8.0"/>
    <col customWidth="1" min="9" max="9" width="10.0"/>
    <col customWidth="1" min="10" max="10" width="8.0"/>
    <col customWidth="1" min="11" max="11" width="40.0"/>
    <col customWidth="1" min="12" max="12" width="14.0"/>
    <col customWidth="1" min="13" max="13" width="12.0"/>
    <col customWidth="1" min="14" max="14" width="44.0"/>
    <col customWidth="1" min="15" max="26" width="8.71"/>
  </cols>
  <sheetData>
    <row r="1" ht="42.0" customHeight="1">
      <c r="A1" s="6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7.75" customHeight="1">
      <c r="A2" s="7" t="s">
        <v>464</v>
      </c>
    </row>
    <row r="4">
      <c r="A4" s="4" t="s">
        <v>416</v>
      </c>
      <c r="B4" s="4" t="s">
        <v>178</v>
      </c>
      <c r="C4" s="4" t="s">
        <v>465</v>
      </c>
      <c r="D4" s="4" t="s">
        <v>466</v>
      </c>
      <c r="E4" s="4" t="s">
        <v>467</v>
      </c>
      <c r="F4" s="4" t="s">
        <v>468</v>
      </c>
      <c r="G4" s="4" t="s">
        <v>469</v>
      </c>
      <c r="H4" s="4" t="s">
        <v>470</v>
      </c>
      <c r="I4" s="4" t="s">
        <v>471</v>
      </c>
      <c r="J4" s="4" t="s">
        <v>67</v>
      </c>
      <c r="K4" s="4" t="s">
        <v>472</v>
      </c>
      <c r="L4" s="4" t="s">
        <v>473</v>
      </c>
      <c r="M4" s="4" t="s">
        <v>474</v>
      </c>
      <c r="N4" s="4" t="s">
        <v>475</v>
      </c>
    </row>
    <row r="5" ht="30.0" customHeight="1">
      <c r="A5" s="5" t="s">
        <v>235</v>
      </c>
      <c r="B5" s="5" t="s">
        <v>476</v>
      </c>
      <c r="C5" s="5" t="s">
        <v>477</v>
      </c>
      <c r="D5" s="5" t="s">
        <v>478</v>
      </c>
      <c r="E5" s="5" t="s">
        <v>479</v>
      </c>
      <c r="F5" s="5">
        <v>1.0</v>
      </c>
      <c r="G5" s="5">
        <v>2.0</v>
      </c>
      <c r="H5" s="5">
        <v>1.0</v>
      </c>
      <c r="I5" s="20">
        <f t="shared" ref="I5:I53" si="1">F5*G5*H5</f>
        <v>2</v>
      </c>
      <c r="J5" s="21" t="str">
        <f t="shared" ref="J5:J53" si="2">IF(I5&gt;=45,"A",IF(I5&gt;=20,"B","C"))</f>
        <v>C</v>
      </c>
      <c r="K5" s="5" t="s">
        <v>480</v>
      </c>
      <c r="L5" s="5" t="s">
        <v>87</v>
      </c>
      <c r="M5" s="5" t="s">
        <v>481</v>
      </c>
      <c r="N5" s="5" t="s">
        <v>482</v>
      </c>
    </row>
    <row r="6" ht="30.0" customHeight="1">
      <c r="A6" s="5" t="s">
        <v>235</v>
      </c>
      <c r="B6" s="5" t="s">
        <v>476</v>
      </c>
      <c r="C6" s="5" t="s">
        <v>483</v>
      </c>
      <c r="D6" s="5" t="s">
        <v>484</v>
      </c>
      <c r="E6" s="5" t="s">
        <v>485</v>
      </c>
      <c r="F6" s="5">
        <v>2.0</v>
      </c>
      <c r="G6" s="5">
        <v>4.0</v>
      </c>
      <c r="H6" s="5">
        <v>3.0</v>
      </c>
      <c r="I6" s="20">
        <f t="shared" si="1"/>
        <v>24</v>
      </c>
      <c r="J6" s="21" t="str">
        <f t="shared" si="2"/>
        <v>B</v>
      </c>
      <c r="K6" s="5" t="s">
        <v>486</v>
      </c>
      <c r="L6" s="5" t="s">
        <v>91</v>
      </c>
      <c r="M6" s="5" t="s">
        <v>487</v>
      </c>
      <c r="N6" s="5" t="s">
        <v>488</v>
      </c>
    </row>
    <row r="7" ht="30.0" customHeight="1">
      <c r="A7" s="5" t="s">
        <v>235</v>
      </c>
      <c r="B7" s="5" t="s">
        <v>476</v>
      </c>
      <c r="C7" s="5" t="s">
        <v>489</v>
      </c>
      <c r="D7" s="5" t="s">
        <v>490</v>
      </c>
      <c r="E7" s="5" t="s">
        <v>491</v>
      </c>
      <c r="F7" s="5">
        <v>2.0</v>
      </c>
      <c r="G7" s="5">
        <v>3.0</v>
      </c>
      <c r="H7" s="5">
        <v>3.0</v>
      </c>
      <c r="I7" s="20">
        <f t="shared" si="1"/>
        <v>18</v>
      </c>
      <c r="J7" s="21" t="str">
        <f t="shared" si="2"/>
        <v>C</v>
      </c>
      <c r="K7" s="5" t="s">
        <v>492</v>
      </c>
      <c r="L7" s="5" t="s">
        <v>91</v>
      </c>
      <c r="M7" s="5" t="s">
        <v>487</v>
      </c>
      <c r="N7" s="5" t="s">
        <v>493</v>
      </c>
    </row>
    <row r="8" ht="30.0" customHeight="1">
      <c r="A8" s="5" t="s">
        <v>235</v>
      </c>
      <c r="B8" s="5" t="s">
        <v>476</v>
      </c>
      <c r="C8" s="5" t="s">
        <v>494</v>
      </c>
      <c r="D8" s="5" t="s">
        <v>495</v>
      </c>
      <c r="E8" s="5" t="s">
        <v>496</v>
      </c>
      <c r="F8" s="5">
        <v>4.0</v>
      </c>
      <c r="G8" s="5">
        <v>4.0</v>
      </c>
      <c r="H8" s="5">
        <v>3.0</v>
      </c>
      <c r="I8" s="20">
        <f t="shared" si="1"/>
        <v>48</v>
      </c>
      <c r="J8" s="21" t="str">
        <f t="shared" si="2"/>
        <v>A</v>
      </c>
      <c r="K8" s="5" t="s">
        <v>497</v>
      </c>
      <c r="L8" s="5" t="s">
        <v>91</v>
      </c>
      <c r="M8" s="5" t="s">
        <v>498</v>
      </c>
      <c r="N8" s="5" t="s">
        <v>499</v>
      </c>
    </row>
    <row r="9" ht="30.0" customHeight="1">
      <c r="A9" s="5" t="s">
        <v>235</v>
      </c>
      <c r="B9" s="5" t="s">
        <v>476</v>
      </c>
      <c r="C9" s="5" t="s">
        <v>500</v>
      </c>
      <c r="D9" s="5" t="s">
        <v>501</v>
      </c>
      <c r="E9" s="5" t="s">
        <v>502</v>
      </c>
      <c r="F9" s="5">
        <v>2.0</v>
      </c>
      <c r="G9" s="5">
        <v>5.0</v>
      </c>
      <c r="H9" s="5">
        <v>4.0</v>
      </c>
      <c r="I9" s="20">
        <f t="shared" si="1"/>
        <v>40</v>
      </c>
      <c r="J9" s="21" t="str">
        <f t="shared" si="2"/>
        <v>B</v>
      </c>
      <c r="K9" s="5" t="s">
        <v>503</v>
      </c>
      <c r="L9" s="5" t="s">
        <v>95</v>
      </c>
      <c r="M9" s="5" t="s">
        <v>498</v>
      </c>
      <c r="N9" s="5" t="s">
        <v>504</v>
      </c>
    </row>
    <row r="10" ht="30.0" customHeight="1">
      <c r="A10" s="5" t="s">
        <v>235</v>
      </c>
      <c r="B10" s="5" t="s">
        <v>476</v>
      </c>
      <c r="C10" s="5" t="s">
        <v>505</v>
      </c>
      <c r="D10" s="5" t="s">
        <v>506</v>
      </c>
      <c r="E10" s="5" t="s">
        <v>507</v>
      </c>
      <c r="F10" s="5">
        <v>2.0</v>
      </c>
      <c r="G10" s="5">
        <v>3.0</v>
      </c>
      <c r="H10" s="5">
        <v>2.0</v>
      </c>
      <c r="I10" s="20">
        <f t="shared" si="1"/>
        <v>12</v>
      </c>
      <c r="J10" s="21" t="str">
        <f t="shared" si="2"/>
        <v>C</v>
      </c>
      <c r="K10" s="5" t="s">
        <v>508</v>
      </c>
      <c r="L10" s="5" t="s">
        <v>87</v>
      </c>
      <c r="M10" s="5" t="s">
        <v>481</v>
      </c>
      <c r="N10" s="5" t="s">
        <v>509</v>
      </c>
    </row>
    <row r="11" ht="30.0" customHeight="1">
      <c r="A11" s="5" t="s">
        <v>232</v>
      </c>
      <c r="B11" s="5" t="s">
        <v>510</v>
      </c>
      <c r="C11" s="5" t="s">
        <v>477</v>
      </c>
      <c r="D11" s="5" t="s">
        <v>478</v>
      </c>
      <c r="E11" s="5" t="s">
        <v>511</v>
      </c>
      <c r="F11" s="5">
        <v>1.0</v>
      </c>
      <c r="G11" s="5">
        <v>2.0</v>
      </c>
      <c r="H11" s="5">
        <v>1.0</v>
      </c>
      <c r="I11" s="20">
        <f t="shared" si="1"/>
        <v>2</v>
      </c>
      <c r="J11" s="21" t="str">
        <f t="shared" si="2"/>
        <v>C</v>
      </c>
      <c r="K11" s="5" t="s">
        <v>480</v>
      </c>
      <c r="L11" s="5" t="s">
        <v>87</v>
      </c>
      <c r="M11" s="5" t="s">
        <v>481</v>
      </c>
      <c r="N11" s="5" t="s">
        <v>512</v>
      </c>
    </row>
    <row r="12" ht="30.0" customHeight="1">
      <c r="A12" s="5" t="s">
        <v>232</v>
      </c>
      <c r="B12" s="5" t="s">
        <v>510</v>
      </c>
      <c r="C12" s="5" t="s">
        <v>483</v>
      </c>
      <c r="D12" s="5" t="s">
        <v>513</v>
      </c>
      <c r="E12" s="5" t="s">
        <v>514</v>
      </c>
      <c r="F12" s="5">
        <v>2.0</v>
      </c>
      <c r="G12" s="5">
        <v>4.0</v>
      </c>
      <c r="H12" s="5">
        <v>3.0</v>
      </c>
      <c r="I12" s="20">
        <f t="shared" si="1"/>
        <v>24</v>
      </c>
      <c r="J12" s="21" t="str">
        <f t="shared" si="2"/>
        <v>B</v>
      </c>
      <c r="K12" s="5" t="s">
        <v>515</v>
      </c>
      <c r="L12" s="5" t="s">
        <v>91</v>
      </c>
      <c r="M12" s="5" t="s">
        <v>487</v>
      </c>
      <c r="N12" s="5" t="s">
        <v>516</v>
      </c>
    </row>
    <row r="13" ht="30.0" customHeight="1">
      <c r="A13" s="5" t="s">
        <v>232</v>
      </c>
      <c r="B13" s="5" t="s">
        <v>510</v>
      </c>
      <c r="C13" s="5" t="s">
        <v>489</v>
      </c>
      <c r="D13" s="5" t="s">
        <v>517</v>
      </c>
      <c r="E13" s="5" t="s">
        <v>518</v>
      </c>
      <c r="F13" s="5">
        <v>2.0</v>
      </c>
      <c r="G13" s="5">
        <v>3.0</v>
      </c>
      <c r="H13" s="5">
        <v>3.0</v>
      </c>
      <c r="I13" s="20">
        <f t="shared" si="1"/>
        <v>18</v>
      </c>
      <c r="J13" s="21" t="str">
        <f t="shared" si="2"/>
        <v>C</v>
      </c>
      <c r="K13" s="5" t="s">
        <v>519</v>
      </c>
      <c r="L13" s="5" t="s">
        <v>91</v>
      </c>
      <c r="M13" s="5" t="s">
        <v>487</v>
      </c>
      <c r="N13" s="5" t="s">
        <v>520</v>
      </c>
    </row>
    <row r="14" ht="30.0" customHeight="1">
      <c r="A14" s="5" t="s">
        <v>232</v>
      </c>
      <c r="B14" s="5" t="s">
        <v>510</v>
      </c>
      <c r="C14" s="5" t="s">
        <v>494</v>
      </c>
      <c r="D14" s="5" t="s">
        <v>521</v>
      </c>
      <c r="E14" s="5" t="s">
        <v>522</v>
      </c>
      <c r="F14" s="5">
        <v>4.0</v>
      </c>
      <c r="G14" s="5">
        <v>4.0</v>
      </c>
      <c r="H14" s="5">
        <v>3.0</v>
      </c>
      <c r="I14" s="20">
        <f t="shared" si="1"/>
        <v>48</v>
      </c>
      <c r="J14" s="21" t="str">
        <f t="shared" si="2"/>
        <v>A</v>
      </c>
      <c r="K14" s="5" t="s">
        <v>523</v>
      </c>
      <c r="L14" s="5" t="s">
        <v>95</v>
      </c>
      <c r="M14" s="5" t="s">
        <v>498</v>
      </c>
      <c r="N14" s="5" t="s">
        <v>524</v>
      </c>
    </row>
    <row r="15" ht="30.0" customHeight="1">
      <c r="A15" s="5" t="s">
        <v>232</v>
      </c>
      <c r="B15" s="5" t="s">
        <v>510</v>
      </c>
      <c r="C15" s="5" t="s">
        <v>500</v>
      </c>
      <c r="D15" s="5" t="s">
        <v>525</v>
      </c>
      <c r="E15" s="5" t="s">
        <v>526</v>
      </c>
      <c r="F15" s="5">
        <v>2.0</v>
      </c>
      <c r="G15" s="5">
        <v>5.0</v>
      </c>
      <c r="H15" s="5">
        <v>4.0</v>
      </c>
      <c r="I15" s="20">
        <f t="shared" si="1"/>
        <v>40</v>
      </c>
      <c r="J15" s="21" t="str">
        <f t="shared" si="2"/>
        <v>B</v>
      </c>
      <c r="K15" s="5" t="s">
        <v>527</v>
      </c>
      <c r="L15" s="5" t="s">
        <v>95</v>
      </c>
      <c r="M15" s="5" t="s">
        <v>498</v>
      </c>
      <c r="N15" s="5" t="s">
        <v>528</v>
      </c>
    </row>
    <row r="16" ht="30.0" customHeight="1">
      <c r="A16" s="5" t="s">
        <v>232</v>
      </c>
      <c r="B16" s="5" t="s">
        <v>510</v>
      </c>
      <c r="C16" s="5" t="s">
        <v>529</v>
      </c>
      <c r="D16" s="5" t="s">
        <v>530</v>
      </c>
      <c r="E16" s="5" t="s">
        <v>531</v>
      </c>
      <c r="F16" s="5">
        <v>3.0</v>
      </c>
      <c r="G16" s="5">
        <v>4.0</v>
      </c>
      <c r="H16" s="5">
        <v>2.0</v>
      </c>
      <c r="I16" s="20">
        <f t="shared" si="1"/>
        <v>24</v>
      </c>
      <c r="J16" s="21" t="str">
        <f t="shared" si="2"/>
        <v>B</v>
      </c>
      <c r="K16" s="5" t="s">
        <v>532</v>
      </c>
      <c r="L16" s="5" t="s">
        <v>87</v>
      </c>
      <c r="M16" s="5" t="s">
        <v>487</v>
      </c>
      <c r="N16" s="5" t="s">
        <v>533</v>
      </c>
    </row>
    <row r="17" ht="30.0" customHeight="1">
      <c r="A17" s="5" t="s">
        <v>232</v>
      </c>
      <c r="B17" s="5" t="s">
        <v>510</v>
      </c>
      <c r="C17" s="5" t="s">
        <v>505</v>
      </c>
      <c r="D17" s="5" t="s">
        <v>534</v>
      </c>
      <c r="E17" s="5" t="s">
        <v>535</v>
      </c>
      <c r="F17" s="5">
        <v>2.0</v>
      </c>
      <c r="G17" s="5">
        <v>2.0</v>
      </c>
      <c r="H17" s="5">
        <v>2.0</v>
      </c>
      <c r="I17" s="20">
        <f t="shared" si="1"/>
        <v>8</v>
      </c>
      <c r="J17" s="21" t="str">
        <f t="shared" si="2"/>
        <v>C</v>
      </c>
      <c r="K17" s="5" t="s">
        <v>536</v>
      </c>
      <c r="L17" s="5" t="s">
        <v>87</v>
      </c>
      <c r="M17" s="5" t="s">
        <v>481</v>
      </c>
      <c r="N17" s="5" t="s">
        <v>537</v>
      </c>
    </row>
    <row r="18" ht="30.0" customHeight="1">
      <c r="A18" s="15" t="s">
        <v>223</v>
      </c>
      <c r="B18" s="15" t="s">
        <v>538</v>
      </c>
      <c r="C18" s="15" t="s">
        <v>539</v>
      </c>
      <c r="D18" s="15" t="s">
        <v>540</v>
      </c>
      <c r="E18" s="15" t="s">
        <v>541</v>
      </c>
      <c r="F18" s="15">
        <v>4.0</v>
      </c>
      <c r="G18" s="15">
        <v>4.0</v>
      </c>
      <c r="H18" s="15">
        <v>3.0</v>
      </c>
      <c r="I18" s="22">
        <f t="shared" si="1"/>
        <v>48</v>
      </c>
      <c r="J18" s="23" t="str">
        <f t="shared" si="2"/>
        <v>A</v>
      </c>
      <c r="K18" s="15" t="s">
        <v>542</v>
      </c>
      <c r="L18" s="15" t="s">
        <v>91</v>
      </c>
      <c r="M18" s="15" t="s">
        <v>498</v>
      </c>
      <c r="N18" s="15" t="s">
        <v>543</v>
      </c>
    </row>
    <row r="19" ht="30.0" customHeight="1">
      <c r="A19" s="15" t="s">
        <v>223</v>
      </c>
      <c r="B19" s="15" t="s">
        <v>538</v>
      </c>
      <c r="C19" s="15" t="s">
        <v>500</v>
      </c>
      <c r="D19" s="15" t="s">
        <v>525</v>
      </c>
      <c r="E19" s="15" t="s">
        <v>544</v>
      </c>
      <c r="F19" s="15">
        <v>2.0</v>
      </c>
      <c r="G19" s="15">
        <v>5.0</v>
      </c>
      <c r="H19" s="15">
        <v>4.0</v>
      </c>
      <c r="I19" s="22">
        <f t="shared" si="1"/>
        <v>40</v>
      </c>
      <c r="J19" s="23" t="str">
        <f t="shared" si="2"/>
        <v>B</v>
      </c>
      <c r="K19" s="15" t="s">
        <v>527</v>
      </c>
      <c r="L19" s="15" t="s">
        <v>95</v>
      </c>
      <c r="M19" s="15" t="s">
        <v>498</v>
      </c>
      <c r="N19" s="15" t="s">
        <v>545</v>
      </c>
    </row>
    <row r="20" ht="30.0" customHeight="1">
      <c r="A20" s="15" t="s">
        <v>223</v>
      </c>
      <c r="B20" s="15" t="s">
        <v>538</v>
      </c>
      <c r="C20" s="15" t="s">
        <v>546</v>
      </c>
      <c r="D20" s="15" t="s">
        <v>547</v>
      </c>
      <c r="E20" s="15" t="s">
        <v>548</v>
      </c>
      <c r="F20" s="15">
        <v>3.0</v>
      </c>
      <c r="G20" s="15">
        <v>5.0</v>
      </c>
      <c r="H20" s="15">
        <v>3.0</v>
      </c>
      <c r="I20" s="22">
        <f t="shared" si="1"/>
        <v>45</v>
      </c>
      <c r="J20" s="23" t="str">
        <f t="shared" si="2"/>
        <v>A</v>
      </c>
      <c r="K20" s="15" t="s">
        <v>549</v>
      </c>
      <c r="L20" s="15" t="s">
        <v>91</v>
      </c>
      <c r="M20" s="15" t="s">
        <v>498</v>
      </c>
      <c r="N20" s="15" t="s">
        <v>550</v>
      </c>
    </row>
    <row r="21" ht="30.0" customHeight="1">
      <c r="A21" s="15" t="s">
        <v>223</v>
      </c>
      <c r="B21" s="15" t="s">
        <v>538</v>
      </c>
      <c r="C21" s="15" t="s">
        <v>529</v>
      </c>
      <c r="D21" s="15" t="s">
        <v>551</v>
      </c>
      <c r="E21" s="15" t="s">
        <v>552</v>
      </c>
      <c r="F21" s="15">
        <v>3.0</v>
      </c>
      <c r="G21" s="15">
        <v>5.0</v>
      </c>
      <c r="H21" s="15">
        <v>3.0</v>
      </c>
      <c r="I21" s="22">
        <f t="shared" si="1"/>
        <v>45</v>
      </c>
      <c r="J21" s="23" t="str">
        <f t="shared" si="2"/>
        <v>A</v>
      </c>
      <c r="K21" s="15" t="s">
        <v>553</v>
      </c>
      <c r="L21" s="15" t="s">
        <v>87</v>
      </c>
      <c r="M21" s="15" t="s">
        <v>498</v>
      </c>
      <c r="N21" s="15" t="s">
        <v>554</v>
      </c>
    </row>
    <row r="22" ht="30.0" customHeight="1">
      <c r="A22" s="15" t="s">
        <v>223</v>
      </c>
      <c r="B22" s="15" t="s">
        <v>538</v>
      </c>
      <c r="C22" s="15" t="s">
        <v>555</v>
      </c>
      <c r="D22" s="15" t="s">
        <v>556</v>
      </c>
      <c r="E22" s="15" t="s">
        <v>557</v>
      </c>
      <c r="F22" s="15">
        <v>5.0</v>
      </c>
      <c r="G22" s="15">
        <v>4.0</v>
      </c>
      <c r="H22" s="15">
        <v>5.0</v>
      </c>
      <c r="I22" s="22">
        <f t="shared" si="1"/>
        <v>100</v>
      </c>
      <c r="J22" s="23" t="str">
        <f t="shared" si="2"/>
        <v>A</v>
      </c>
      <c r="K22" s="15" t="s">
        <v>558</v>
      </c>
      <c r="L22" s="15" t="s">
        <v>95</v>
      </c>
      <c r="M22" s="15" t="s">
        <v>498</v>
      </c>
      <c r="N22" s="15" t="s">
        <v>559</v>
      </c>
    </row>
    <row r="23" ht="30.0" customHeight="1">
      <c r="A23" s="16" t="s">
        <v>227</v>
      </c>
      <c r="B23" s="16" t="s">
        <v>560</v>
      </c>
      <c r="C23" s="16" t="s">
        <v>539</v>
      </c>
      <c r="D23" s="16" t="s">
        <v>540</v>
      </c>
      <c r="E23" s="16" t="s">
        <v>541</v>
      </c>
      <c r="F23" s="16">
        <v>4.0</v>
      </c>
      <c r="G23" s="16">
        <v>4.0</v>
      </c>
      <c r="H23" s="16">
        <v>3.0</v>
      </c>
      <c r="I23" s="24">
        <f t="shared" si="1"/>
        <v>48</v>
      </c>
      <c r="J23" s="25" t="str">
        <f t="shared" si="2"/>
        <v>A</v>
      </c>
      <c r="K23" s="16" t="s">
        <v>542</v>
      </c>
      <c r="L23" s="16" t="s">
        <v>91</v>
      </c>
      <c r="M23" s="16" t="s">
        <v>498</v>
      </c>
      <c r="N23" s="16" t="s">
        <v>561</v>
      </c>
    </row>
    <row r="24" ht="30.0" customHeight="1">
      <c r="A24" s="16" t="s">
        <v>227</v>
      </c>
      <c r="B24" s="16" t="s">
        <v>560</v>
      </c>
      <c r="C24" s="16" t="s">
        <v>500</v>
      </c>
      <c r="D24" s="16" t="s">
        <v>525</v>
      </c>
      <c r="E24" s="16" t="s">
        <v>544</v>
      </c>
      <c r="F24" s="16">
        <v>2.0</v>
      </c>
      <c r="G24" s="16">
        <v>5.0</v>
      </c>
      <c r="H24" s="16">
        <v>4.0</v>
      </c>
      <c r="I24" s="24">
        <f t="shared" si="1"/>
        <v>40</v>
      </c>
      <c r="J24" s="25" t="str">
        <f t="shared" si="2"/>
        <v>B</v>
      </c>
      <c r="K24" s="16" t="s">
        <v>527</v>
      </c>
      <c r="L24" s="16" t="s">
        <v>95</v>
      </c>
      <c r="M24" s="16" t="s">
        <v>498</v>
      </c>
      <c r="N24" s="16" t="s">
        <v>562</v>
      </c>
    </row>
    <row r="25" ht="30.0" customHeight="1">
      <c r="A25" s="16" t="s">
        <v>227</v>
      </c>
      <c r="B25" s="16" t="s">
        <v>560</v>
      </c>
      <c r="C25" s="16" t="s">
        <v>546</v>
      </c>
      <c r="D25" s="16" t="s">
        <v>547</v>
      </c>
      <c r="E25" s="16" t="s">
        <v>548</v>
      </c>
      <c r="F25" s="16">
        <v>3.0</v>
      </c>
      <c r="G25" s="16">
        <v>5.0</v>
      </c>
      <c r="H25" s="16">
        <v>3.0</v>
      </c>
      <c r="I25" s="24">
        <f t="shared" si="1"/>
        <v>45</v>
      </c>
      <c r="J25" s="25" t="str">
        <f t="shared" si="2"/>
        <v>A</v>
      </c>
      <c r="K25" s="16" t="s">
        <v>549</v>
      </c>
      <c r="L25" s="16" t="s">
        <v>91</v>
      </c>
      <c r="M25" s="16" t="s">
        <v>498</v>
      </c>
      <c r="N25" s="16" t="s">
        <v>563</v>
      </c>
    </row>
    <row r="26" ht="30.0" customHeight="1">
      <c r="A26" s="16" t="s">
        <v>227</v>
      </c>
      <c r="B26" s="16" t="s">
        <v>560</v>
      </c>
      <c r="C26" s="16" t="s">
        <v>529</v>
      </c>
      <c r="D26" s="16" t="s">
        <v>551</v>
      </c>
      <c r="E26" s="16" t="s">
        <v>552</v>
      </c>
      <c r="F26" s="16">
        <v>3.0</v>
      </c>
      <c r="G26" s="16">
        <v>5.0</v>
      </c>
      <c r="H26" s="16">
        <v>3.0</v>
      </c>
      <c r="I26" s="24">
        <f t="shared" si="1"/>
        <v>45</v>
      </c>
      <c r="J26" s="25" t="str">
        <f t="shared" si="2"/>
        <v>A</v>
      </c>
      <c r="K26" s="16" t="s">
        <v>553</v>
      </c>
      <c r="L26" s="16" t="s">
        <v>87</v>
      </c>
      <c r="M26" s="16" t="s">
        <v>498</v>
      </c>
      <c r="N26" s="16" t="s">
        <v>554</v>
      </c>
    </row>
    <row r="27" ht="30.0" customHeight="1">
      <c r="A27" s="16" t="s">
        <v>227</v>
      </c>
      <c r="B27" s="16" t="s">
        <v>560</v>
      </c>
      <c r="C27" s="16" t="s">
        <v>564</v>
      </c>
      <c r="D27" s="16" t="s">
        <v>565</v>
      </c>
      <c r="E27" s="16" t="s">
        <v>566</v>
      </c>
      <c r="F27" s="16">
        <v>5.0</v>
      </c>
      <c r="G27" s="16">
        <v>3.0</v>
      </c>
      <c r="H27" s="16">
        <v>5.0</v>
      </c>
      <c r="I27" s="24">
        <f t="shared" si="1"/>
        <v>75</v>
      </c>
      <c r="J27" s="25" t="str">
        <f t="shared" si="2"/>
        <v>A</v>
      </c>
      <c r="K27" s="16" t="s">
        <v>567</v>
      </c>
      <c r="L27" s="16" t="s">
        <v>91</v>
      </c>
      <c r="M27" s="16" t="s">
        <v>498</v>
      </c>
      <c r="N27" s="16" t="s">
        <v>568</v>
      </c>
    </row>
    <row r="28" ht="30.0" customHeight="1">
      <c r="A28" s="17" t="s">
        <v>275</v>
      </c>
      <c r="B28" s="17" t="s">
        <v>569</v>
      </c>
      <c r="C28" s="17" t="s">
        <v>477</v>
      </c>
      <c r="D28" s="17" t="s">
        <v>478</v>
      </c>
      <c r="E28" s="17" t="s">
        <v>570</v>
      </c>
      <c r="F28" s="17">
        <v>1.0</v>
      </c>
      <c r="G28" s="17">
        <v>1.0</v>
      </c>
      <c r="H28" s="17">
        <v>1.0</v>
      </c>
      <c r="I28" s="26">
        <f t="shared" si="1"/>
        <v>1</v>
      </c>
      <c r="J28" s="27" t="str">
        <f t="shared" si="2"/>
        <v>C</v>
      </c>
      <c r="K28" s="17" t="s">
        <v>571</v>
      </c>
      <c r="L28" s="17" t="s">
        <v>87</v>
      </c>
      <c r="M28" s="17" t="s">
        <v>481</v>
      </c>
      <c r="N28" s="17" t="s">
        <v>572</v>
      </c>
    </row>
    <row r="29" ht="30.0" customHeight="1">
      <c r="A29" s="17" t="s">
        <v>275</v>
      </c>
      <c r="B29" s="17" t="s">
        <v>569</v>
      </c>
      <c r="C29" s="17" t="s">
        <v>573</v>
      </c>
      <c r="D29" s="17" t="s">
        <v>574</v>
      </c>
      <c r="E29" s="17" t="s">
        <v>575</v>
      </c>
      <c r="F29" s="17">
        <v>4.0</v>
      </c>
      <c r="G29" s="17">
        <v>3.0</v>
      </c>
      <c r="H29" s="17">
        <v>2.0</v>
      </c>
      <c r="I29" s="26">
        <f t="shared" si="1"/>
        <v>24</v>
      </c>
      <c r="J29" s="27" t="str">
        <f t="shared" si="2"/>
        <v>B</v>
      </c>
      <c r="K29" s="17" t="s">
        <v>576</v>
      </c>
      <c r="L29" s="17" t="s">
        <v>87</v>
      </c>
      <c r="M29" s="17" t="s">
        <v>487</v>
      </c>
      <c r="N29" s="17" t="s">
        <v>577</v>
      </c>
    </row>
    <row r="30" ht="30.0" customHeight="1">
      <c r="A30" s="17" t="s">
        <v>275</v>
      </c>
      <c r="B30" s="17" t="s">
        <v>569</v>
      </c>
      <c r="C30" s="17" t="s">
        <v>483</v>
      </c>
      <c r="D30" s="17" t="s">
        <v>513</v>
      </c>
      <c r="E30" s="17" t="s">
        <v>578</v>
      </c>
      <c r="F30" s="17">
        <v>2.0</v>
      </c>
      <c r="G30" s="17">
        <v>3.0</v>
      </c>
      <c r="H30" s="17">
        <v>3.0</v>
      </c>
      <c r="I30" s="26">
        <f t="shared" si="1"/>
        <v>18</v>
      </c>
      <c r="J30" s="27" t="str">
        <f t="shared" si="2"/>
        <v>C</v>
      </c>
      <c r="K30" s="17" t="s">
        <v>519</v>
      </c>
      <c r="L30" s="17" t="s">
        <v>91</v>
      </c>
      <c r="M30" s="17" t="s">
        <v>487</v>
      </c>
      <c r="N30" s="17" t="s">
        <v>579</v>
      </c>
    </row>
    <row r="31" ht="30.0" customHeight="1">
      <c r="A31" s="17" t="s">
        <v>275</v>
      </c>
      <c r="B31" s="17" t="s">
        <v>569</v>
      </c>
      <c r="C31" s="17" t="s">
        <v>580</v>
      </c>
      <c r="D31" s="17" t="s">
        <v>581</v>
      </c>
      <c r="E31" s="17" t="s">
        <v>582</v>
      </c>
      <c r="F31" s="17">
        <v>2.0</v>
      </c>
      <c r="G31" s="17">
        <v>3.0</v>
      </c>
      <c r="H31" s="17">
        <v>2.0</v>
      </c>
      <c r="I31" s="26">
        <f t="shared" si="1"/>
        <v>12</v>
      </c>
      <c r="J31" s="27" t="str">
        <f t="shared" si="2"/>
        <v>C</v>
      </c>
      <c r="K31" s="17" t="s">
        <v>583</v>
      </c>
      <c r="L31" s="17" t="s">
        <v>87</v>
      </c>
      <c r="M31" s="17" t="s">
        <v>487</v>
      </c>
      <c r="N31" s="17" t="s">
        <v>584</v>
      </c>
    </row>
    <row r="32" ht="30.0" customHeight="1">
      <c r="A32" s="17" t="s">
        <v>275</v>
      </c>
      <c r="B32" s="17" t="s">
        <v>569</v>
      </c>
      <c r="C32" s="17" t="s">
        <v>500</v>
      </c>
      <c r="D32" s="17" t="s">
        <v>525</v>
      </c>
      <c r="E32" s="17" t="s">
        <v>585</v>
      </c>
      <c r="F32" s="17">
        <v>2.0</v>
      </c>
      <c r="G32" s="17">
        <v>4.0</v>
      </c>
      <c r="H32" s="17">
        <v>4.0</v>
      </c>
      <c r="I32" s="26">
        <f t="shared" si="1"/>
        <v>32</v>
      </c>
      <c r="J32" s="27" t="str">
        <f t="shared" si="2"/>
        <v>B</v>
      </c>
      <c r="K32" s="17" t="s">
        <v>586</v>
      </c>
      <c r="L32" s="17" t="s">
        <v>95</v>
      </c>
      <c r="M32" s="17" t="s">
        <v>498</v>
      </c>
      <c r="N32" s="17" t="s">
        <v>587</v>
      </c>
    </row>
    <row r="33" ht="30.0" customHeight="1">
      <c r="A33" s="17" t="s">
        <v>275</v>
      </c>
      <c r="B33" s="17" t="s">
        <v>569</v>
      </c>
      <c r="C33" s="17" t="s">
        <v>588</v>
      </c>
      <c r="D33" s="17" t="s">
        <v>589</v>
      </c>
      <c r="E33" s="17" t="s">
        <v>590</v>
      </c>
      <c r="F33" s="17">
        <v>2.0</v>
      </c>
      <c r="G33" s="17">
        <v>4.0</v>
      </c>
      <c r="H33" s="17">
        <v>3.0</v>
      </c>
      <c r="I33" s="26">
        <f t="shared" si="1"/>
        <v>24</v>
      </c>
      <c r="J33" s="27" t="str">
        <f t="shared" si="2"/>
        <v>B</v>
      </c>
      <c r="K33" s="17" t="s">
        <v>591</v>
      </c>
      <c r="L33" s="17" t="s">
        <v>91</v>
      </c>
      <c r="M33" s="17" t="s">
        <v>487</v>
      </c>
      <c r="N33" s="17" t="s">
        <v>592</v>
      </c>
    </row>
    <row r="34" ht="30.0" customHeight="1">
      <c r="A34" s="17" t="s">
        <v>275</v>
      </c>
      <c r="B34" s="17" t="s">
        <v>569</v>
      </c>
      <c r="C34" s="17" t="s">
        <v>593</v>
      </c>
      <c r="D34" s="17" t="s">
        <v>594</v>
      </c>
      <c r="E34" s="17" t="s">
        <v>595</v>
      </c>
      <c r="F34" s="17">
        <v>3.0</v>
      </c>
      <c r="G34" s="17">
        <v>3.0</v>
      </c>
      <c r="H34" s="17">
        <v>3.0</v>
      </c>
      <c r="I34" s="26">
        <f t="shared" si="1"/>
        <v>27</v>
      </c>
      <c r="J34" s="27" t="str">
        <f t="shared" si="2"/>
        <v>B</v>
      </c>
      <c r="K34" s="17" t="s">
        <v>596</v>
      </c>
      <c r="L34" s="17" t="s">
        <v>87</v>
      </c>
      <c r="M34" s="17" t="s">
        <v>481</v>
      </c>
      <c r="N34" s="17" t="s">
        <v>597</v>
      </c>
    </row>
    <row r="35" ht="30.0" customHeight="1">
      <c r="A35" s="17" t="s">
        <v>275</v>
      </c>
      <c r="B35" s="17" t="s">
        <v>569</v>
      </c>
      <c r="C35" s="17" t="s">
        <v>505</v>
      </c>
      <c r="D35" s="17" t="s">
        <v>598</v>
      </c>
      <c r="E35" s="17" t="s">
        <v>599</v>
      </c>
      <c r="F35" s="17">
        <v>2.0</v>
      </c>
      <c r="G35" s="17">
        <v>2.0</v>
      </c>
      <c r="H35" s="17">
        <v>2.0</v>
      </c>
      <c r="I35" s="26">
        <f t="shared" si="1"/>
        <v>8</v>
      </c>
      <c r="J35" s="27" t="str">
        <f t="shared" si="2"/>
        <v>C</v>
      </c>
      <c r="K35" s="17" t="s">
        <v>600</v>
      </c>
      <c r="L35" s="17" t="s">
        <v>87</v>
      </c>
      <c r="M35" s="17" t="s">
        <v>481</v>
      </c>
      <c r="N35" s="17" t="s">
        <v>601</v>
      </c>
    </row>
    <row r="36" ht="30.0" customHeight="1">
      <c r="A36" s="5" t="s">
        <v>271</v>
      </c>
      <c r="B36" s="5" t="s">
        <v>602</v>
      </c>
      <c r="C36" s="5" t="s">
        <v>477</v>
      </c>
      <c r="D36" s="5" t="s">
        <v>603</v>
      </c>
      <c r="E36" s="5" t="s">
        <v>604</v>
      </c>
      <c r="F36" s="5">
        <v>1.0</v>
      </c>
      <c r="G36" s="5">
        <v>2.0</v>
      </c>
      <c r="H36" s="5">
        <v>1.0</v>
      </c>
      <c r="I36" s="20">
        <f t="shared" si="1"/>
        <v>2</v>
      </c>
      <c r="J36" s="21" t="str">
        <f t="shared" si="2"/>
        <v>C</v>
      </c>
      <c r="K36" s="5" t="s">
        <v>480</v>
      </c>
      <c r="L36" s="5" t="s">
        <v>87</v>
      </c>
      <c r="M36" s="5" t="s">
        <v>481</v>
      </c>
      <c r="N36" s="5" t="s">
        <v>605</v>
      </c>
    </row>
    <row r="37" ht="30.0" customHeight="1">
      <c r="A37" s="5" t="s">
        <v>271</v>
      </c>
      <c r="B37" s="5" t="s">
        <v>602</v>
      </c>
      <c r="C37" s="5" t="s">
        <v>606</v>
      </c>
      <c r="D37" s="5" t="s">
        <v>607</v>
      </c>
      <c r="E37" s="5" t="s">
        <v>608</v>
      </c>
      <c r="F37" s="5">
        <v>4.0</v>
      </c>
      <c r="G37" s="5">
        <v>3.0</v>
      </c>
      <c r="H37" s="5">
        <v>2.0</v>
      </c>
      <c r="I37" s="20">
        <f t="shared" si="1"/>
        <v>24</v>
      </c>
      <c r="J37" s="21" t="str">
        <f t="shared" si="2"/>
        <v>B</v>
      </c>
      <c r="K37" s="5" t="s">
        <v>609</v>
      </c>
      <c r="L37" s="5" t="s">
        <v>87</v>
      </c>
      <c r="M37" s="5" t="s">
        <v>487</v>
      </c>
      <c r="N37" s="5" t="s">
        <v>610</v>
      </c>
    </row>
    <row r="38" ht="30.0" customHeight="1">
      <c r="A38" s="5" t="s">
        <v>271</v>
      </c>
      <c r="B38" s="5" t="s">
        <v>602</v>
      </c>
      <c r="C38" s="5" t="s">
        <v>611</v>
      </c>
      <c r="D38" s="5" t="s">
        <v>612</v>
      </c>
      <c r="E38" s="5" t="s">
        <v>613</v>
      </c>
      <c r="F38" s="5">
        <v>2.0</v>
      </c>
      <c r="G38" s="5">
        <v>4.0</v>
      </c>
      <c r="H38" s="5">
        <v>3.0</v>
      </c>
      <c r="I38" s="20">
        <f t="shared" si="1"/>
        <v>24</v>
      </c>
      <c r="J38" s="21" t="str">
        <f t="shared" si="2"/>
        <v>B</v>
      </c>
      <c r="K38" s="5" t="s">
        <v>614</v>
      </c>
      <c r="L38" s="5" t="s">
        <v>91</v>
      </c>
      <c r="M38" s="5" t="s">
        <v>498</v>
      </c>
      <c r="N38" s="5" t="s">
        <v>615</v>
      </c>
    </row>
    <row r="39" ht="30.0" customHeight="1">
      <c r="A39" s="5" t="s">
        <v>271</v>
      </c>
      <c r="B39" s="5" t="s">
        <v>602</v>
      </c>
      <c r="C39" s="5" t="s">
        <v>483</v>
      </c>
      <c r="D39" s="5" t="s">
        <v>616</v>
      </c>
      <c r="E39" s="5" t="s">
        <v>617</v>
      </c>
      <c r="F39" s="5">
        <v>2.0</v>
      </c>
      <c r="G39" s="5">
        <v>3.0</v>
      </c>
      <c r="H39" s="5">
        <v>2.0</v>
      </c>
      <c r="I39" s="20">
        <f t="shared" si="1"/>
        <v>12</v>
      </c>
      <c r="J39" s="21" t="str">
        <f t="shared" si="2"/>
        <v>C</v>
      </c>
      <c r="K39" s="5" t="s">
        <v>515</v>
      </c>
      <c r="L39" s="5" t="s">
        <v>87</v>
      </c>
      <c r="M39" s="5" t="s">
        <v>487</v>
      </c>
      <c r="N39" s="5" t="s">
        <v>618</v>
      </c>
    </row>
    <row r="40" ht="30.0" customHeight="1">
      <c r="A40" s="5" t="s">
        <v>271</v>
      </c>
      <c r="B40" s="5" t="s">
        <v>602</v>
      </c>
      <c r="C40" s="5" t="s">
        <v>588</v>
      </c>
      <c r="D40" s="5" t="s">
        <v>619</v>
      </c>
      <c r="E40" s="5" t="s">
        <v>620</v>
      </c>
      <c r="F40" s="5">
        <v>3.0</v>
      </c>
      <c r="G40" s="5">
        <v>5.0</v>
      </c>
      <c r="H40" s="5">
        <v>3.0</v>
      </c>
      <c r="I40" s="20">
        <f t="shared" si="1"/>
        <v>45</v>
      </c>
      <c r="J40" s="21" t="str">
        <f t="shared" si="2"/>
        <v>A</v>
      </c>
      <c r="K40" s="5" t="s">
        <v>621</v>
      </c>
      <c r="L40" s="5" t="s">
        <v>87</v>
      </c>
      <c r="M40" s="5" t="s">
        <v>481</v>
      </c>
      <c r="N40" s="5" t="s">
        <v>622</v>
      </c>
    </row>
    <row r="41" ht="30.0" customHeight="1">
      <c r="A41" s="5" t="s">
        <v>271</v>
      </c>
      <c r="B41" s="5" t="s">
        <v>602</v>
      </c>
      <c r="C41" s="5" t="s">
        <v>505</v>
      </c>
      <c r="D41" s="5" t="s">
        <v>461</v>
      </c>
      <c r="E41" s="5" t="s">
        <v>623</v>
      </c>
      <c r="F41" s="5">
        <v>2.0</v>
      </c>
      <c r="G41" s="5">
        <v>2.0</v>
      </c>
      <c r="H41" s="5">
        <v>2.0</v>
      </c>
      <c r="I41" s="20">
        <f t="shared" si="1"/>
        <v>8</v>
      </c>
      <c r="J41" s="21" t="str">
        <f t="shared" si="2"/>
        <v>C</v>
      </c>
      <c r="K41" s="5" t="s">
        <v>624</v>
      </c>
      <c r="L41" s="5" t="s">
        <v>87</v>
      </c>
      <c r="M41" s="5" t="s">
        <v>481</v>
      </c>
      <c r="N41" s="5" t="s">
        <v>509</v>
      </c>
    </row>
    <row r="42" ht="30.0" customHeight="1">
      <c r="A42" s="15" t="s">
        <v>265</v>
      </c>
      <c r="B42" s="15" t="s">
        <v>625</v>
      </c>
      <c r="C42" s="15" t="s">
        <v>477</v>
      </c>
      <c r="D42" s="15" t="s">
        <v>626</v>
      </c>
      <c r="E42" s="15" t="s">
        <v>627</v>
      </c>
      <c r="F42" s="15">
        <v>2.0</v>
      </c>
      <c r="G42" s="15">
        <v>2.0</v>
      </c>
      <c r="H42" s="15">
        <v>2.0</v>
      </c>
      <c r="I42" s="22">
        <f t="shared" si="1"/>
        <v>8</v>
      </c>
      <c r="J42" s="23" t="str">
        <f t="shared" si="2"/>
        <v>C</v>
      </c>
      <c r="K42" s="15" t="s">
        <v>480</v>
      </c>
      <c r="L42" s="15" t="s">
        <v>87</v>
      </c>
      <c r="M42" s="15" t="s">
        <v>481</v>
      </c>
      <c r="N42" s="15" t="s">
        <v>628</v>
      </c>
    </row>
    <row r="43" ht="30.0" customHeight="1">
      <c r="A43" s="15" t="s">
        <v>265</v>
      </c>
      <c r="B43" s="15" t="s">
        <v>625</v>
      </c>
      <c r="C43" s="15" t="s">
        <v>573</v>
      </c>
      <c r="D43" s="15" t="s">
        <v>629</v>
      </c>
      <c r="E43" s="15" t="s">
        <v>630</v>
      </c>
      <c r="F43" s="15">
        <v>4.0</v>
      </c>
      <c r="G43" s="15">
        <v>3.0</v>
      </c>
      <c r="H43" s="15">
        <v>2.0</v>
      </c>
      <c r="I43" s="22">
        <f t="shared" si="1"/>
        <v>24</v>
      </c>
      <c r="J43" s="23" t="str">
        <f t="shared" si="2"/>
        <v>B</v>
      </c>
      <c r="K43" s="15" t="s">
        <v>576</v>
      </c>
      <c r="L43" s="15" t="s">
        <v>87</v>
      </c>
      <c r="M43" s="15" t="s">
        <v>487</v>
      </c>
      <c r="N43" s="15" t="s">
        <v>631</v>
      </c>
    </row>
    <row r="44" ht="30.0" customHeight="1">
      <c r="A44" s="15" t="s">
        <v>265</v>
      </c>
      <c r="B44" s="15" t="s">
        <v>625</v>
      </c>
      <c r="C44" s="15" t="s">
        <v>483</v>
      </c>
      <c r="D44" s="15" t="s">
        <v>632</v>
      </c>
      <c r="E44" s="15" t="s">
        <v>633</v>
      </c>
      <c r="F44" s="15">
        <v>3.0</v>
      </c>
      <c r="G44" s="15">
        <v>3.0</v>
      </c>
      <c r="H44" s="15">
        <v>2.0</v>
      </c>
      <c r="I44" s="22">
        <f t="shared" si="1"/>
        <v>18</v>
      </c>
      <c r="J44" s="23" t="str">
        <f t="shared" si="2"/>
        <v>C</v>
      </c>
      <c r="K44" s="15" t="s">
        <v>519</v>
      </c>
      <c r="L44" s="15" t="s">
        <v>87</v>
      </c>
      <c r="M44" s="15" t="s">
        <v>487</v>
      </c>
      <c r="N44" s="15" t="s">
        <v>634</v>
      </c>
    </row>
    <row r="45" ht="30.0" customHeight="1">
      <c r="A45" s="15" t="s">
        <v>265</v>
      </c>
      <c r="B45" s="15" t="s">
        <v>625</v>
      </c>
      <c r="C45" s="15" t="s">
        <v>580</v>
      </c>
      <c r="D45" s="15" t="s">
        <v>581</v>
      </c>
      <c r="E45" s="15" t="s">
        <v>635</v>
      </c>
      <c r="F45" s="15">
        <v>2.0</v>
      </c>
      <c r="G45" s="15">
        <v>3.0</v>
      </c>
      <c r="H45" s="15">
        <v>2.0</v>
      </c>
      <c r="I45" s="22">
        <f t="shared" si="1"/>
        <v>12</v>
      </c>
      <c r="J45" s="23" t="str">
        <f t="shared" si="2"/>
        <v>C</v>
      </c>
      <c r="K45" s="15" t="s">
        <v>636</v>
      </c>
      <c r="L45" s="15" t="s">
        <v>87</v>
      </c>
      <c r="M45" s="15" t="s">
        <v>487</v>
      </c>
      <c r="N45" s="15" t="s">
        <v>637</v>
      </c>
    </row>
    <row r="46" ht="30.0" customHeight="1">
      <c r="A46" s="15" t="s">
        <v>265</v>
      </c>
      <c r="B46" s="15" t="s">
        <v>625</v>
      </c>
      <c r="C46" s="15" t="s">
        <v>500</v>
      </c>
      <c r="D46" s="15" t="s">
        <v>525</v>
      </c>
      <c r="E46" s="15" t="s">
        <v>638</v>
      </c>
      <c r="F46" s="15">
        <v>2.0</v>
      </c>
      <c r="G46" s="15">
        <v>4.0</v>
      </c>
      <c r="H46" s="15">
        <v>4.0</v>
      </c>
      <c r="I46" s="22">
        <f t="shared" si="1"/>
        <v>32</v>
      </c>
      <c r="J46" s="23" t="str">
        <f t="shared" si="2"/>
        <v>B</v>
      </c>
      <c r="K46" s="15" t="s">
        <v>639</v>
      </c>
      <c r="L46" s="15" t="s">
        <v>91</v>
      </c>
      <c r="M46" s="15" t="s">
        <v>498</v>
      </c>
      <c r="N46" s="15" t="s">
        <v>640</v>
      </c>
    </row>
    <row r="47" ht="30.0" customHeight="1">
      <c r="A47" s="15" t="s">
        <v>265</v>
      </c>
      <c r="B47" s="15" t="s">
        <v>625</v>
      </c>
      <c r="C47" s="15" t="s">
        <v>555</v>
      </c>
      <c r="D47" s="15" t="s">
        <v>556</v>
      </c>
      <c r="E47" s="15" t="s">
        <v>641</v>
      </c>
      <c r="F47" s="15">
        <v>5.0</v>
      </c>
      <c r="G47" s="15">
        <v>3.0</v>
      </c>
      <c r="H47" s="15">
        <v>5.0</v>
      </c>
      <c r="I47" s="22">
        <f t="shared" si="1"/>
        <v>75</v>
      </c>
      <c r="J47" s="23" t="str">
        <f t="shared" si="2"/>
        <v>A</v>
      </c>
      <c r="K47" s="15" t="s">
        <v>642</v>
      </c>
      <c r="L47" s="15" t="s">
        <v>91</v>
      </c>
      <c r="M47" s="15" t="s">
        <v>498</v>
      </c>
      <c r="N47" s="15" t="s">
        <v>643</v>
      </c>
    </row>
    <row r="48" ht="30.0" customHeight="1">
      <c r="A48" s="15" t="s">
        <v>265</v>
      </c>
      <c r="B48" s="15" t="s">
        <v>625</v>
      </c>
      <c r="C48" s="15" t="s">
        <v>505</v>
      </c>
      <c r="D48" s="15" t="s">
        <v>461</v>
      </c>
      <c r="E48" s="15" t="s">
        <v>644</v>
      </c>
      <c r="F48" s="15">
        <v>2.0</v>
      </c>
      <c r="G48" s="15">
        <v>2.0</v>
      </c>
      <c r="H48" s="15">
        <v>2.0</v>
      </c>
      <c r="I48" s="22">
        <f t="shared" si="1"/>
        <v>8</v>
      </c>
      <c r="J48" s="23" t="str">
        <f t="shared" si="2"/>
        <v>C</v>
      </c>
      <c r="K48" s="15" t="s">
        <v>600</v>
      </c>
      <c r="L48" s="15" t="s">
        <v>87</v>
      </c>
      <c r="M48" s="15" t="s">
        <v>481</v>
      </c>
      <c r="N48" s="15" t="s">
        <v>645</v>
      </c>
    </row>
    <row r="49" ht="30.0" customHeight="1">
      <c r="A49" s="17" t="s">
        <v>284</v>
      </c>
      <c r="B49" s="17" t="s">
        <v>646</v>
      </c>
      <c r="C49" s="17" t="s">
        <v>477</v>
      </c>
      <c r="D49" s="17" t="s">
        <v>478</v>
      </c>
      <c r="E49" s="17" t="s">
        <v>647</v>
      </c>
      <c r="F49" s="17">
        <v>2.0</v>
      </c>
      <c r="G49" s="17">
        <v>3.0</v>
      </c>
      <c r="H49" s="17">
        <v>3.0</v>
      </c>
      <c r="I49" s="26">
        <f t="shared" si="1"/>
        <v>18</v>
      </c>
      <c r="J49" s="27" t="str">
        <f t="shared" si="2"/>
        <v>C</v>
      </c>
      <c r="K49" s="17" t="s">
        <v>648</v>
      </c>
      <c r="L49" s="17" t="s">
        <v>87</v>
      </c>
      <c r="M49" s="17" t="s">
        <v>487</v>
      </c>
      <c r="N49" s="17" t="s">
        <v>649</v>
      </c>
    </row>
    <row r="50" ht="30.0" customHeight="1">
      <c r="A50" s="17" t="s">
        <v>284</v>
      </c>
      <c r="B50" s="17" t="s">
        <v>646</v>
      </c>
      <c r="C50" s="17" t="s">
        <v>573</v>
      </c>
      <c r="D50" s="17" t="s">
        <v>650</v>
      </c>
      <c r="E50" s="17" t="s">
        <v>651</v>
      </c>
      <c r="F50" s="17">
        <v>4.0</v>
      </c>
      <c r="G50" s="17">
        <v>3.0</v>
      </c>
      <c r="H50" s="17">
        <v>2.0</v>
      </c>
      <c r="I50" s="26">
        <f t="shared" si="1"/>
        <v>24</v>
      </c>
      <c r="J50" s="27" t="str">
        <f t="shared" si="2"/>
        <v>B</v>
      </c>
      <c r="K50" s="17" t="s">
        <v>652</v>
      </c>
      <c r="L50" s="17" t="s">
        <v>87</v>
      </c>
      <c r="M50" s="17" t="s">
        <v>487</v>
      </c>
      <c r="N50" s="17" t="s">
        <v>653</v>
      </c>
    </row>
    <row r="51" ht="30.0" customHeight="1">
      <c r="A51" s="17" t="s">
        <v>284</v>
      </c>
      <c r="B51" s="17" t="s">
        <v>646</v>
      </c>
      <c r="C51" s="17" t="s">
        <v>500</v>
      </c>
      <c r="D51" s="17" t="s">
        <v>525</v>
      </c>
      <c r="E51" s="17" t="s">
        <v>654</v>
      </c>
      <c r="F51" s="17">
        <v>2.0</v>
      </c>
      <c r="G51" s="17">
        <v>4.0</v>
      </c>
      <c r="H51" s="17">
        <v>3.0</v>
      </c>
      <c r="I51" s="26">
        <f t="shared" si="1"/>
        <v>24</v>
      </c>
      <c r="J51" s="27" t="str">
        <f t="shared" si="2"/>
        <v>B</v>
      </c>
      <c r="K51" s="17" t="s">
        <v>655</v>
      </c>
      <c r="L51" s="17" t="s">
        <v>95</v>
      </c>
      <c r="M51" s="17" t="s">
        <v>498</v>
      </c>
      <c r="N51" s="17" t="s">
        <v>656</v>
      </c>
    </row>
    <row r="52" ht="30.0" customHeight="1">
      <c r="A52" s="17" t="s">
        <v>284</v>
      </c>
      <c r="B52" s="17" t="s">
        <v>646</v>
      </c>
      <c r="C52" s="17" t="s">
        <v>657</v>
      </c>
      <c r="D52" s="17" t="s">
        <v>658</v>
      </c>
      <c r="E52" s="17" t="s">
        <v>659</v>
      </c>
      <c r="F52" s="17">
        <v>3.0</v>
      </c>
      <c r="G52" s="17">
        <v>5.0</v>
      </c>
      <c r="H52" s="17">
        <v>3.0</v>
      </c>
      <c r="I52" s="26">
        <f t="shared" si="1"/>
        <v>45</v>
      </c>
      <c r="J52" s="27" t="str">
        <f t="shared" si="2"/>
        <v>A</v>
      </c>
      <c r="K52" s="17" t="s">
        <v>660</v>
      </c>
      <c r="L52" s="17" t="s">
        <v>91</v>
      </c>
      <c r="M52" s="17" t="s">
        <v>498</v>
      </c>
      <c r="N52" s="17" t="s">
        <v>661</v>
      </c>
    </row>
    <row r="53" ht="30.0" customHeight="1">
      <c r="A53" s="17" t="s">
        <v>284</v>
      </c>
      <c r="B53" s="17" t="s">
        <v>646</v>
      </c>
      <c r="C53" s="17" t="s">
        <v>662</v>
      </c>
      <c r="D53" s="17" t="s">
        <v>663</v>
      </c>
      <c r="E53" s="17" t="s">
        <v>664</v>
      </c>
      <c r="F53" s="17">
        <v>2.0</v>
      </c>
      <c r="G53" s="17">
        <v>4.0</v>
      </c>
      <c r="H53" s="17">
        <v>3.0</v>
      </c>
      <c r="I53" s="26">
        <f t="shared" si="1"/>
        <v>24</v>
      </c>
      <c r="J53" s="27" t="str">
        <f t="shared" si="2"/>
        <v>B</v>
      </c>
      <c r="K53" s="17" t="s">
        <v>665</v>
      </c>
      <c r="L53" s="17" t="s">
        <v>87</v>
      </c>
      <c r="M53" s="17" t="s">
        <v>487</v>
      </c>
      <c r="N53" s="17" t="s">
        <v>666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14.0"/>
    <col customWidth="1" min="4" max="4" width="26.0"/>
    <col customWidth="1" min="5" max="5" width="16.0"/>
    <col customWidth="1" min="6" max="6" width="46.0"/>
    <col customWidth="1" min="7" max="7" width="22.0"/>
    <col customWidth="1" min="8" max="9" width="10.0"/>
    <col customWidth="1" min="10" max="10" width="12.0"/>
    <col customWidth="1" min="11" max="11" width="24.0"/>
    <col customWidth="1" min="12" max="12" width="12.0"/>
    <col customWidth="1" min="13" max="13" width="40.0"/>
    <col customWidth="1" min="14" max="26" width="8.71"/>
  </cols>
  <sheetData>
    <row r="1" ht="36.0" customHeight="1">
      <c r="A1" s="6" t="s">
        <v>667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7.75" customHeight="1">
      <c r="A2" s="7" t="s">
        <v>668</v>
      </c>
    </row>
    <row r="4">
      <c r="A4" s="4" t="s">
        <v>416</v>
      </c>
      <c r="B4" s="4" t="s">
        <v>178</v>
      </c>
      <c r="C4" s="4" t="s">
        <v>669</v>
      </c>
      <c r="D4" s="4" t="s">
        <v>670</v>
      </c>
      <c r="E4" s="4" t="s">
        <v>671</v>
      </c>
      <c r="F4" s="4" t="s">
        <v>672</v>
      </c>
      <c r="G4" s="4" t="s">
        <v>673</v>
      </c>
      <c r="H4" s="4" t="s">
        <v>674</v>
      </c>
      <c r="I4" s="4" t="s">
        <v>675</v>
      </c>
      <c r="J4" s="4" t="s">
        <v>676</v>
      </c>
      <c r="K4" s="4" t="s">
        <v>677</v>
      </c>
      <c r="L4" s="4" t="s">
        <v>678</v>
      </c>
      <c r="M4" s="4" t="s">
        <v>679</v>
      </c>
    </row>
    <row r="5" ht="27.75" customHeight="1">
      <c r="A5" s="5" t="s">
        <v>235</v>
      </c>
      <c r="B5" s="5" t="s">
        <v>476</v>
      </c>
      <c r="C5" s="5" t="s">
        <v>680</v>
      </c>
      <c r="D5" s="5" t="s">
        <v>681</v>
      </c>
      <c r="E5" s="5" t="s">
        <v>682</v>
      </c>
      <c r="F5" s="5" t="s">
        <v>683</v>
      </c>
      <c r="G5" s="5" t="s">
        <v>684</v>
      </c>
      <c r="H5" s="5">
        <v>5.0</v>
      </c>
      <c r="I5" s="5" t="s">
        <v>87</v>
      </c>
      <c r="J5" s="5" t="s">
        <v>481</v>
      </c>
      <c r="K5" s="5" t="s">
        <v>685</v>
      </c>
      <c r="L5" s="5" t="s">
        <v>444</v>
      </c>
      <c r="M5" s="5" t="s">
        <v>686</v>
      </c>
    </row>
    <row r="6" ht="27.75" customHeight="1">
      <c r="A6" s="5" t="s">
        <v>235</v>
      </c>
      <c r="B6" s="5" t="s">
        <v>476</v>
      </c>
      <c r="C6" s="5" t="s">
        <v>687</v>
      </c>
      <c r="D6" s="5" t="s">
        <v>688</v>
      </c>
      <c r="E6" s="5" t="s">
        <v>689</v>
      </c>
      <c r="F6" s="5" t="s">
        <v>690</v>
      </c>
      <c r="G6" s="5" t="s">
        <v>691</v>
      </c>
      <c r="H6" s="5">
        <v>20.0</v>
      </c>
      <c r="I6" s="5" t="s">
        <v>87</v>
      </c>
      <c r="J6" s="5" t="s">
        <v>487</v>
      </c>
      <c r="K6" s="5" t="s">
        <v>692</v>
      </c>
      <c r="L6" s="5" t="s">
        <v>693</v>
      </c>
      <c r="M6" s="5" t="s">
        <v>694</v>
      </c>
    </row>
    <row r="7" ht="27.75" customHeight="1">
      <c r="A7" s="5" t="s">
        <v>235</v>
      </c>
      <c r="B7" s="5" t="s">
        <v>476</v>
      </c>
      <c r="C7" s="5" t="s">
        <v>695</v>
      </c>
      <c r="D7" s="5" t="s">
        <v>696</v>
      </c>
      <c r="E7" s="5" t="s">
        <v>697</v>
      </c>
      <c r="F7" s="5" t="s">
        <v>698</v>
      </c>
      <c r="G7" s="5" t="s">
        <v>699</v>
      </c>
      <c r="H7" s="5">
        <v>15.0</v>
      </c>
      <c r="I7" s="5" t="s">
        <v>91</v>
      </c>
      <c r="J7" s="5" t="s">
        <v>498</v>
      </c>
      <c r="K7" s="5" t="s">
        <v>700</v>
      </c>
      <c r="L7" s="5" t="s">
        <v>701</v>
      </c>
      <c r="M7" s="5" t="s">
        <v>702</v>
      </c>
    </row>
    <row r="8" ht="27.75" customHeight="1">
      <c r="A8" s="5" t="s">
        <v>235</v>
      </c>
      <c r="B8" s="5" t="s">
        <v>476</v>
      </c>
      <c r="C8" s="5" t="s">
        <v>703</v>
      </c>
      <c r="D8" s="5" t="s">
        <v>704</v>
      </c>
      <c r="E8" s="5" t="s">
        <v>682</v>
      </c>
      <c r="F8" s="5" t="s">
        <v>705</v>
      </c>
      <c r="G8" s="5" t="s">
        <v>699</v>
      </c>
      <c r="H8" s="5">
        <v>15.0</v>
      </c>
      <c r="I8" s="5" t="s">
        <v>91</v>
      </c>
      <c r="J8" s="5" t="s">
        <v>487</v>
      </c>
      <c r="K8" s="5" t="s">
        <v>706</v>
      </c>
      <c r="L8" s="5" t="s">
        <v>444</v>
      </c>
      <c r="M8" s="5" t="s">
        <v>707</v>
      </c>
    </row>
    <row r="9" ht="27.75" customHeight="1">
      <c r="A9" s="5" t="s">
        <v>235</v>
      </c>
      <c r="B9" s="5" t="s">
        <v>476</v>
      </c>
      <c r="C9" s="5" t="s">
        <v>708</v>
      </c>
      <c r="D9" s="5" t="s">
        <v>709</v>
      </c>
      <c r="E9" s="5" t="s">
        <v>682</v>
      </c>
      <c r="F9" s="5" t="s">
        <v>710</v>
      </c>
      <c r="G9" s="5" t="s">
        <v>691</v>
      </c>
      <c r="H9" s="5">
        <v>15.0</v>
      </c>
      <c r="I9" s="5" t="s">
        <v>87</v>
      </c>
      <c r="J9" s="5" t="s">
        <v>487</v>
      </c>
      <c r="K9" s="5" t="s">
        <v>711</v>
      </c>
      <c r="L9" s="5" t="s">
        <v>712</v>
      </c>
      <c r="M9" s="5" t="s">
        <v>713</v>
      </c>
    </row>
    <row r="10" ht="27.75" customHeight="1">
      <c r="A10" s="5" t="s">
        <v>235</v>
      </c>
      <c r="B10" s="5" t="s">
        <v>476</v>
      </c>
      <c r="C10" s="5" t="s">
        <v>714</v>
      </c>
      <c r="D10" s="5" t="s">
        <v>715</v>
      </c>
      <c r="E10" s="5" t="s">
        <v>716</v>
      </c>
      <c r="F10" s="5" t="s">
        <v>717</v>
      </c>
      <c r="G10" s="5" t="s">
        <v>684</v>
      </c>
      <c r="H10" s="5">
        <v>10.0</v>
      </c>
      <c r="I10" s="5" t="s">
        <v>87</v>
      </c>
      <c r="J10" s="5" t="s">
        <v>481</v>
      </c>
      <c r="K10" s="5" t="s">
        <v>718</v>
      </c>
      <c r="L10" s="5" t="s">
        <v>444</v>
      </c>
      <c r="M10" s="5" t="s">
        <v>719</v>
      </c>
    </row>
    <row r="11" ht="27.75" customHeight="1">
      <c r="A11" s="5" t="s">
        <v>235</v>
      </c>
      <c r="B11" s="5" t="s">
        <v>476</v>
      </c>
      <c r="C11" s="5" t="s">
        <v>720</v>
      </c>
      <c r="D11" s="5" t="s">
        <v>721</v>
      </c>
      <c r="E11" s="5" t="s">
        <v>722</v>
      </c>
      <c r="F11" s="5" t="s">
        <v>723</v>
      </c>
      <c r="G11" s="5" t="s">
        <v>691</v>
      </c>
      <c r="H11" s="5">
        <v>10.0</v>
      </c>
      <c r="I11" s="5" t="s">
        <v>91</v>
      </c>
      <c r="J11" s="5" t="s">
        <v>498</v>
      </c>
      <c r="K11" s="5" t="s">
        <v>724</v>
      </c>
      <c r="L11" s="5" t="s">
        <v>725</v>
      </c>
      <c r="M11" s="5" t="s">
        <v>528</v>
      </c>
    </row>
    <row r="12" ht="27.75" customHeight="1">
      <c r="A12" s="5" t="s">
        <v>235</v>
      </c>
      <c r="B12" s="5" t="s">
        <v>476</v>
      </c>
      <c r="C12" s="5" t="s">
        <v>726</v>
      </c>
      <c r="D12" s="5" t="s">
        <v>727</v>
      </c>
      <c r="E12" s="5" t="s">
        <v>697</v>
      </c>
      <c r="F12" s="5" t="s">
        <v>728</v>
      </c>
      <c r="G12" s="5" t="s">
        <v>729</v>
      </c>
      <c r="H12" s="5">
        <v>20.0</v>
      </c>
      <c r="I12" s="5" t="s">
        <v>95</v>
      </c>
      <c r="J12" s="5" t="s">
        <v>498</v>
      </c>
      <c r="K12" s="5" t="s">
        <v>700</v>
      </c>
      <c r="L12" s="5" t="s">
        <v>444</v>
      </c>
      <c r="M12" s="5" t="s">
        <v>730</v>
      </c>
    </row>
    <row r="13" ht="27.75" customHeight="1">
      <c r="A13" s="5" t="s">
        <v>235</v>
      </c>
      <c r="B13" s="5" t="s">
        <v>476</v>
      </c>
      <c r="C13" s="5" t="s">
        <v>731</v>
      </c>
      <c r="D13" s="5" t="s">
        <v>732</v>
      </c>
      <c r="E13" s="5" t="s">
        <v>733</v>
      </c>
      <c r="F13" s="5" t="s">
        <v>734</v>
      </c>
      <c r="G13" s="5" t="s">
        <v>691</v>
      </c>
      <c r="H13" s="5">
        <v>10.0</v>
      </c>
      <c r="I13" s="5" t="s">
        <v>87</v>
      </c>
      <c r="J13" s="5" t="s">
        <v>481</v>
      </c>
      <c r="K13" s="5" t="s">
        <v>735</v>
      </c>
      <c r="L13" s="5" t="s">
        <v>736</v>
      </c>
      <c r="M13" s="5" t="s">
        <v>737</v>
      </c>
    </row>
    <row r="14" ht="27.75" customHeight="1">
      <c r="A14" s="5" t="s">
        <v>235</v>
      </c>
      <c r="B14" s="5" t="s">
        <v>476</v>
      </c>
      <c r="C14" s="5" t="s">
        <v>738</v>
      </c>
      <c r="D14" s="5" t="s">
        <v>739</v>
      </c>
      <c r="E14" s="5" t="s">
        <v>740</v>
      </c>
      <c r="F14" s="5" t="s">
        <v>741</v>
      </c>
      <c r="G14" s="5" t="s">
        <v>742</v>
      </c>
      <c r="H14" s="5">
        <v>15.0</v>
      </c>
      <c r="I14" s="5" t="s">
        <v>91</v>
      </c>
      <c r="J14" s="5" t="s">
        <v>481</v>
      </c>
      <c r="K14" s="5" t="s">
        <v>743</v>
      </c>
      <c r="L14" s="5" t="s">
        <v>736</v>
      </c>
      <c r="M14" s="5" t="s">
        <v>744</v>
      </c>
    </row>
    <row r="15" ht="27.75" customHeight="1">
      <c r="A15" s="5" t="s">
        <v>232</v>
      </c>
      <c r="B15" s="5" t="s">
        <v>510</v>
      </c>
      <c r="C15" s="5" t="s">
        <v>745</v>
      </c>
      <c r="D15" s="5" t="s">
        <v>688</v>
      </c>
      <c r="E15" s="5" t="s">
        <v>689</v>
      </c>
      <c r="F15" s="5" t="s">
        <v>746</v>
      </c>
      <c r="G15" s="5" t="s">
        <v>691</v>
      </c>
      <c r="H15" s="5">
        <v>20.0</v>
      </c>
      <c r="I15" s="5" t="s">
        <v>87</v>
      </c>
      <c r="J15" s="5" t="s">
        <v>487</v>
      </c>
      <c r="K15" s="5" t="s">
        <v>747</v>
      </c>
      <c r="L15" s="5" t="s">
        <v>693</v>
      </c>
      <c r="M15" s="5" t="s">
        <v>748</v>
      </c>
    </row>
    <row r="16" ht="27.75" customHeight="1">
      <c r="A16" s="5" t="s">
        <v>232</v>
      </c>
      <c r="B16" s="5" t="s">
        <v>510</v>
      </c>
      <c r="C16" s="5" t="s">
        <v>749</v>
      </c>
      <c r="D16" s="5" t="s">
        <v>750</v>
      </c>
      <c r="E16" s="5" t="s">
        <v>682</v>
      </c>
      <c r="F16" s="5" t="s">
        <v>751</v>
      </c>
      <c r="G16" s="5" t="s">
        <v>699</v>
      </c>
      <c r="H16" s="5">
        <v>10.0</v>
      </c>
      <c r="I16" s="5" t="s">
        <v>87</v>
      </c>
      <c r="J16" s="5" t="s">
        <v>481</v>
      </c>
      <c r="K16" s="5" t="s">
        <v>724</v>
      </c>
      <c r="L16" s="5" t="s">
        <v>444</v>
      </c>
      <c r="M16" s="5" t="s">
        <v>752</v>
      </c>
    </row>
    <row r="17" ht="27.75" customHeight="1">
      <c r="A17" s="5" t="s">
        <v>232</v>
      </c>
      <c r="B17" s="5" t="s">
        <v>510</v>
      </c>
      <c r="C17" s="5" t="s">
        <v>753</v>
      </c>
      <c r="D17" s="5" t="s">
        <v>696</v>
      </c>
      <c r="E17" s="5" t="s">
        <v>697</v>
      </c>
      <c r="F17" s="5" t="s">
        <v>754</v>
      </c>
      <c r="G17" s="5" t="s">
        <v>699</v>
      </c>
      <c r="H17" s="5">
        <v>15.0</v>
      </c>
      <c r="I17" s="5" t="s">
        <v>91</v>
      </c>
      <c r="J17" s="5" t="s">
        <v>498</v>
      </c>
      <c r="K17" s="5" t="s">
        <v>700</v>
      </c>
      <c r="L17" s="5" t="s">
        <v>701</v>
      </c>
      <c r="M17" s="5" t="s">
        <v>755</v>
      </c>
    </row>
    <row r="18" ht="27.75" customHeight="1">
      <c r="A18" s="5" t="s">
        <v>232</v>
      </c>
      <c r="B18" s="5" t="s">
        <v>510</v>
      </c>
      <c r="C18" s="5" t="s">
        <v>756</v>
      </c>
      <c r="D18" s="5" t="s">
        <v>757</v>
      </c>
      <c r="E18" s="5" t="s">
        <v>682</v>
      </c>
      <c r="F18" s="5" t="s">
        <v>758</v>
      </c>
      <c r="G18" s="5" t="s">
        <v>699</v>
      </c>
      <c r="H18" s="5">
        <v>15.0</v>
      </c>
      <c r="I18" s="5" t="s">
        <v>91</v>
      </c>
      <c r="J18" s="5" t="s">
        <v>487</v>
      </c>
      <c r="K18" s="5" t="s">
        <v>759</v>
      </c>
      <c r="L18" s="5" t="s">
        <v>760</v>
      </c>
      <c r="M18" s="5" t="s">
        <v>761</v>
      </c>
    </row>
    <row r="19" ht="27.75" customHeight="1">
      <c r="A19" s="5" t="s">
        <v>232</v>
      </c>
      <c r="B19" s="5" t="s">
        <v>510</v>
      </c>
      <c r="C19" s="5" t="s">
        <v>762</v>
      </c>
      <c r="D19" s="5" t="s">
        <v>763</v>
      </c>
      <c r="E19" s="5" t="s">
        <v>697</v>
      </c>
      <c r="F19" s="5" t="s">
        <v>764</v>
      </c>
      <c r="G19" s="5" t="s">
        <v>691</v>
      </c>
      <c r="H19" s="5">
        <v>20.0</v>
      </c>
      <c r="I19" s="5" t="s">
        <v>91</v>
      </c>
      <c r="J19" s="5" t="s">
        <v>487</v>
      </c>
      <c r="K19" s="5" t="s">
        <v>765</v>
      </c>
      <c r="L19" s="5" t="s">
        <v>712</v>
      </c>
      <c r="M19" s="5" t="s">
        <v>766</v>
      </c>
    </row>
    <row r="20" ht="27.75" customHeight="1">
      <c r="A20" s="5" t="s">
        <v>232</v>
      </c>
      <c r="B20" s="5" t="s">
        <v>510</v>
      </c>
      <c r="C20" s="5" t="s">
        <v>767</v>
      </c>
      <c r="D20" s="5" t="s">
        <v>768</v>
      </c>
      <c r="E20" s="5" t="s">
        <v>682</v>
      </c>
      <c r="F20" s="5" t="s">
        <v>769</v>
      </c>
      <c r="G20" s="5" t="s">
        <v>691</v>
      </c>
      <c r="H20" s="5">
        <v>10.0</v>
      </c>
      <c r="I20" s="5" t="s">
        <v>91</v>
      </c>
      <c r="J20" s="5" t="s">
        <v>487</v>
      </c>
      <c r="K20" s="5" t="s">
        <v>770</v>
      </c>
      <c r="L20" s="5" t="s">
        <v>444</v>
      </c>
      <c r="M20" s="5" t="s">
        <v>771</v>
      </c>
    </row>
    <row r="21" ht="27.75" customHeight="1">
      <c r="A21" s="5" t="s">
        <v>232</v>
      </c>
      <c r="B21" s="5" t="s">
        <v>510</v>
      </c>
      <c r="C21" s="5" t="s">
        <v>772</v>
      </c>
      <c r="D21" s="5" t="s">
        <v>773</v>
      </c>
      <c r="E21" s="5" t="s">
        <v>722</v>
      </c>
      <c r="F21" s="5" t="s">
        <v>774</v>
      </c>
      <c r="G21" s="5" t="s">
        <v>691</v>
      </c>
      <c r="H21" s="5">
        <v>10.0</v>
      </c>
      <c r="I21" s="5" t="s">
        <v>91</v>
      </c>
      <c r="J21" s="5" t="s">
        <v>498</v>
      </c>
      <c r="K21" s="5" t="s">
        <v>724</v>
      </c>
      <c r="L21" s="5" t="s">
        <v>725</v>
      </c>
      <c r="M21" s="5" t="s">
        <v>528</v>
      </c>
    </row>
    <row r="22" ht="27.75" customHeight="1">
      <c r="A22" s="5" t="s">
        <v>232</v>
      </c>
      <c r="B22" s="5" t="s">
        <v>510</v>
      </c>
      <c r="C22" s="5" t="s">
        <v>775</v>
      </c>
      <c r="D22" s="5" t="s">
        <v>776</v>
      </c>
      <c r="E22" s="5" t="s">
        <v>716</v>
      </c>
      <c r="F22" s="5" t="s">
        <v>777</v>
      </c>
      <c r="G22" s="5" t="s">
        <v>684</v>
      </c>
      <c r="H22" s="5">
        <v>10.0</v>
      </c>
      <c r="I22" s="5" t="s">
        <v>87</v>
      </c>
      <c r="J22" s="5" t="s">
        <v>481</v>
      </c>
      <c r="K22" s="5" t="s">
        <v>724</v>
      </c>
      <c r="L22" s="5" t="s">
        <v>444</v>
      </c>
      <c r="M22" s="5" t="s">
        <v>778</v>
      </c>
    </row>
    <row r="23" ht="27.75" customHeight="1">
      <c r="A23" s="5" t="s">
        <v>232</v>
      </c>
      <c r="B23" s="5" t="s">
        <v>510</v>
      </c>
      <c r="C23" s="5" t="s">
        <v>779</v>
      </c>
      <c r="D23" s="5" t="s">
        <v>780</v>
      </c>
      <c r="E23" s="5" t="s">
        <v>682</v>
      </c>
      <c r="F23" s="5" t="s">
        <v>781</v>
      </c>
      <c r="G23" s="5" t="s">
        <v>782</v>
      </c>
      <c r="H23" s="5">
        <v>5.0</v>
      </c>
      <c r="I23" s="5" t="s">
        <v>87</v>
      </c>
      <c r="J23" s="5" t="s">
        <v>481</v>
      </c>
      <c r="K23" s="5" t="s">
        <v>724</v>
      </c>
      <c r="L23" s="5" t="s">
        <v>444</v>
      </c>
      <c r="M23" s="5" t="s">
        <v>783</v>
      </c>
    </row>
    <row r="24" ht="27.75" customHeight="1">
      <c r="A24" s="5" t="s">
        <v>232</v>
      </c>
      <c r="B24" s="5" t="s">
        <v>510</v>
      </c>
      <c r="C24" s="5" t="s">
        <v>738</v>
      </c>
      <c r="D24" s="5" t="s">
        <v>732</v>
      </c>
      <c r="E24" s="5" t="s">
        <v>733</v>
      </c>
      <c r="F24" s="5" t="s">
        <v>784</v>
      </c>
      <c r="G24" s="5" t="s">
        <v>691</v>
      </c>
      <c r="H24" s="5">
        <v>10.0</v>
      </c>
      <c r="I24" s="5" t="s">
        <v>87</v>
      </c>
      <c r="J24" s="5" t="s">
        <v>481</v>
      </c>
      <c r="K24" s="5" t="s">
        <v>735</v>
      </c>
      <c r="L24" s="5" t="s">
        <v>736</v>
      </c>
      <c r="M24" s="5" t="s">
        <v>737</v>
      </c>
    </row>
    <row r="25" ht="27.75" customHeight="1">
      <c r="A25" s="15" t="s">
        <v>223</v>
      </c>
      <c r="B25" s="15" t="s">
        <v>785</v>
      </c>
      <c r="C25" s="15" t="s">
        <v>786</v>
      </c>
      <c r="D25" s="15" t="s">
        <v>787</v>
      </c>
      <c r="E25" s="15" t="s">
        <v>788</v>
      </c>
      <c r="F25" s="15" t="s">
        <v>789</v>
      </c>
      <c r="G25" s="15" t="s">
        <v>790</v>
      </c>
      <c r="H25" s="15">
        <v>60.0</v>
      </c>
      <c r="I25" s="15" t="s">
        <v>95</v>
      </c>
      <c r="J25" s="15" t="s">
        <v>498</v>
      </c>
      <c r="K25" s="15" t="s">
        <v>791</v>
      </c>
      <c r="L25" s="15" t="s">
        <v>792</v>
      </c>
      <c r="M25" s="15" t="s">
        <v>793</v>
      </c>
    </row>
    <row r="26" ht="27.75" customHeight="1">
      <c r="A26" s="15" t="s">
        <v>223</v>
      </c>
      <c r="B26" s="15" t="s">
        <v>785</v>
      </c>
      <c r="C26" s="15" t="s">
        <v>794</v>
      </c>
      <c r="D26" s="15" t="s">
        <v>795</v>
      </c>
      <c r="E26" s="15" t="s">
        <v>796</v>
      </c>
      <c r="F26" s="15" t="s">
        <v>797</v>
      </c>
      <c r="G26" s="15" t="s">
        <v>684</v>
      </c>
      <c r="H26" s="15">
        <v>20.0</v>
      </c>
      <c r="I26" s="15" t="s">
        <v>91</v>
      </c>
      <c r="J26" s="15" t="s">
        <v>498</v>
      </c>
      <c r="K26" s="15" t="s">
        <v>798</v>
      </c>
      <c r="L26" s="15" t="s">
        <v>799</v>
      </c>
      <c r="M26" s="15" t="s">
        <v>800</v>
      </c>
    </row>
    <row r="27" ht="27.75" customHeight="1">
      <c r="A27" s="15" t="s">
        <v>223</v>
      </c>
      <c r="B27" s="15" t="s">
        <v>785</v>
      </c>
      <c r="C27" s="15" t="s">
        <v>801</v>
      </c>
      <c r="D27" s="15" t="s">
        <v>802</v>
      </c>
      <c r="E27" s="15" t="s">
        <v>803</v>
      </c>
      <c r="F27" s="15" t="s">
        <v>804</v>
      </c>
      <c r="G27" s="15" t="s">
        <v>805</v>
      </c>
      <c r="H27" s="15">
        <v>20.0</v>
      </c>
      <c r="I27" s="15" t="s">
        <v>87</v>
      </c>
      <c r="J27" s="15" t="s">
        <v>498</v>
      </c>
      <c r="K27" s="15" t="s">
        <v>806</v>
      </c>
      <c r="L27" s="15" t="s">
        <v>807</v>
      </c>
      <c r="M27" s="15" t="s">
        <v>800</v>
      </c>
    </row>
    <row r="28" ht="27.75" customHeight="1">
      <c r="A28" s="15" t="s">
        <v>223</v>
      </c>
      <c r="B28" s="15" t="s">
        <v>785</v>
      </c>
      <c r="C28" s="15" t="s">
        <v>808</v>
      </c>
      <c r="D28" s="15" t="s">
        <v>809</v>
      </c>
      <c r="E28" s="15" t="s">
        <v>810</v>
      </c>
      <c r="F28" s="15" t="s">
        <v>811</v>
      </c>
      <c r="G28" s="15" t="s">
        <v>812</v>
      </c>
      <c r="H28" s="15">
        <v>15.0</v>
      </c>
      <c r="I28" s="15" t="s">
        <v>87</v>
      </c>
      <c r="J28" s="15" t="s">
        <v>481</v>
      </c>
      <c r="K28" s="15" t="s">
        <v>813</v>
      </c>
      <c r="L28" s="15" t="s">
        <v>814</v>
      </c>
      <c r="M28" s="15" t="s">
        <v>800</v>
      </c>
    </row>
    <row r="29" ht="27.75" customHeight="1">
      <c r="A29" s="15" t="s">
        <v>223</v>
      </c>
      <c r="B29" s="15" t="s">
        <v>785</v>
      </c>
      <c r="C29" s="15" t="s">
        <v>815</v>
      </c>
      <c r="D29" s="15" t="s">
        <v>816</v>
      </c>
      <c r="E29" s="15" t="s">
        <v>722</v>
      </c>
      <c r="F29" s="15" t="s">
        <v>817</v>
      </c>
      <c r="G29" s="15" t="s">
        <v>691</v>
      </c>
      <c r="H29" s="15">
        <v>10.0</v>
      </c>
      <c r="I29" s="15" t="s">
        <v>91</v>
      </c>
      <c r="J29" s="15" t="s">
        <v>498</v>
      </c>
      <c r="K29" s="15" t="s">
        <v>724</v>
      </c>
      <c r="L29" s="15" t="s">
        <v>725</v>
      </c>
      <c r="M29" s="15" t="s">
        <v>818</v>
      </c>
    </row>
    <row r="30" ht="27.75" customHeight="1">
      <c r="A30" s="16" t="s">
        <v>227</v>
      </c>
      <c r="B30" s="16" t="s">
        <v>560</v>
      </c>
      <c r="C30" s="16" t="s">
        <v>819</v>
      </c>
      <c r="D30" s="16" t="s">
        <v>820</v>
      </c>
      <c r="E30" s="16" t="s">
        <v>697</v>
      </c>
      <c r="F30" s="16" t="s">
        <v>821</v>
      </c>
      <c r="G30" s="16" t="s">
        <v>790</v>
      </c>
      <c r="H30" s="16">
        <v>60.0</v>
      </c>
      <c r="I30" s="16" t="s">
        <v>95</v>
      </c>
      <c r="J30" s="16" t="s">
        <v>498</v>
      </c>
      <c r="K30" s="16" t="s">
        <v>791</v>
      </c>
      <c r="L30" s="16" t="s">
        <v>792</v>
      </c>
      <c r="M30" s="16" t="s">
        <v>822</v>
      </c>
    </row>
    <row r="31" ht="27.75" customHeight="1">
      <c r="A31" s="16" t="s">
        <v>227</v>
      </c>
      <c r="B31" s="16" t="s">
        <v>560</v>
      </c>
      <c r="C31" s="16" t="s">
        <v>794</v>
      </c>
      <c r="D31" s="16" t="s">
        <v>795</v>
      </c>
      <c r="E31" s="16" t="s">
        <v>796</v>
      </c>
      <c r="F31" s="16" t="s">
        <v>823</v>
      </c>
      <c r="G31" s="16" t="s">
        <v>684</v>
      </c>
      <c r="H31" s="16">
        <v>20.0</v>
      </c>
      <c r="I31" s="16" t="s">
        <v>91</v>
      </c>
      <c r="J31" s="16" t="s">
        <v>498</v>
      </c>
      <c r="K31" s="16" t="s">
        <v>798</v>
      </c>
      <c r="L31" s="16" t="s">
        <v>799</v>
      </c>
      <c r="M31" s="16" t="s">
        <v>824</v>
      </c>
    </row>
    <row r="32" ht="27.75" customHeight="1">
      <c r="A32" s="16" t="s">
        <v>227</v>
      </c>
      <c r="B32" s="16" t="s">
        <v>560</v>
      </c>
      <c r="C32" s="16" t="s">
        <v>801</v>
      </c>
      <c r="D32" s="16" t="s">
        <v>802</v>
      </c>
      <c r="E32" s="16" t="s">
        <v>803</v>
      </c>
      <c r="F32" s="16" t="s">
        <v>804</v>
      </c>
      <c r="G32" s="16" t="s">
        <v>805</v>
      </c>
      <c r="H32" s="16">
        <v>20.0</v>
      </c>
      <c r="I32" s="16" t="s">
        <v>87</v>
      </c>
      <c r="J32" s="16" t="s">
        <v>498</v>
      </c>
      <c r="K32" s="16" t="s">
        <v>806</v>
      </c>
      <c r="L32" s="16" t="s">
        <v>807</v>
      </c>
      <c r="M32" s="16" t="s">
        <v>824</v>
      </c>
    </row>
    <row r="33" ht="27.75" customHeight="1">
      <c r="A33" s="16" t="s">
        <v>227</v>
      </c>
      <c r="B33" s="16" t="s">
        <v>560</v>
      </c>
      <c r="C33" s="16" t="s">
        <v>815</v>
      </c>
      <c r="D33" s="16" t="s">
        <v>816</v>
      </c>
      <c r="E33" s="16" t="s">
        <v>722</v>
      </c>
      <c r="F33" s="16" t="s">
        <v>817</v>
      </c>
      <c r="G33" s="16" t="s">
        <v>691</v>
      </c>
      <c r="H33" s="16">
        <v>10.0</v>
      </c>
      <c r="I33" s="16" t="s">
        <v>91</v>
      </c>
      <c r="J33" s="16" t="s">
        <v>498</v>
      </c>
      <c r="K33" s="16" t="s">
        <v>724</v>
      </c>
      <c r="L33" s="16" t="s">
        <v>725</v>
      </c>
      <c r="M33" s="16" t="s">
        <v>818</v>
      </c>
    </row>
    <row r="34" ht="27.75" customHeight="1">
      <c r="A34" s="17" t="s">
        <v>275</v>
      </c>
      <c r="B34" s="17" t="s">
        <v>569</v>
      </c>
      <c r="C34" s="17" t="s">
        <v>825</v>
      </c>
      <c r="D34" s="17" t="s">
        <v>826</v>
      </c>
      <c r="E34" s="17" t="s">
        <v>716</v>
      </c>
      <c r="F34" s="17" t="s">
        <v>827</v>
      </c>
      <c r="G34" s="17" t="s">
        <v>699</v>
      </c>
      <c r="H34" s="17">
        <v>15.0</v>
      </c>
      <c r="I34" s="17" t="s">
        <v>87</v>
      </c>
      <c r="J34" s="17" t="s">
        <v>481</v>
      </c>
      <c r="K34" s="17" t="s">
        <v>724</v>
      </c>
      <c r="L34" s="17" t="s">
        <v>814</v>
      </c>
      <c r="M34" s="17" t="s">
        <v>828</v>
      </c>
    </row>
    <row r="35" ht="27.75" customHeight="1">
      <c r="A35" s="17" t="s">
        <v>275</v>
      </c>
      <c r="B35" s="17" t="s">
        <v>569</v>
      </c>
      <c r="C35" s="17" t="s">
        <v>829</v>
      </c>
      <c r="D35" s="17" t="s">
        <v>830</v>
      </c>
      <c r="E35" s="17" t="s">
        <v>831</v>
      </c>
      <c r="F35" s="17" t="s">
        <v>832</v>
      </c>
      <c r="G35" s="17" t="s">
        <v>833</v>
      </c>
      <c r="H35" s="17">
        <v>20.0</v>
      </c>
      <c r="I35" s="17" t="s">
        <v>87</v>
      </c>
      <c r="J35" s="17" t="s">
        <v>498</v>
      </c>
      <c r="K35" s="17" t="s">
        <v>834</v>
      </c>
      <c r="L35" s="17" t="s">
        <v>835</v>
      </c>
      <c r="M35" s="17" t="s">
        <v>836</v>
      </c>
    </row>
    <row r="36" ht="27.75" customHeight="1">
      <c r="A36" s="17" t="s">
        <v>275</v>
      </c>
      <c r="B36" s="17" t="s">
        <v>569</v>
      </c>
      <c r="C36" s="17" t="s">
        <v>687</v>
      </c>
      <c r="D36" s="17" t="s">
        <v>837</v>
      </c>
      <c r="E36" s="17" t="s">
        <v>838</v>
      </c>
      <c r="F36" s="17" t="s">
        <v>839</v>
      </c>
      <c r="G36" s="17" t="s">
        <v>699</v>
      </c>
      <c r="H36" s="17">
        <v>20.0</v>
      </c>
      <c r="I36" s="17" t="s">
        <v>91</v>
      </c>
      <c r="J36" s="17" t="s">
        <v>487</v>
      </c>
      <c r="K36" s="17" t="s">
        <v>840</v>
      </c>
      <c r="L36" s="17" t="s">
        <v>760</v>
      </c>
      <c r="M36" s="17" t="s">
        <v>841</v>
      </c>
    </row>
    <row r="37" ht="27.75" customHeight="1">
      <c r="A37" s="17" t="s">
        <v>275</v>
      </c>
      <c r="B37" s="17" t="s">
        <v>569</v>
      </c>
      <c r="C37" s="17" t="s">
        <v>842</v>
      </c>
      <c r="D37" s="17" t="s">
        <v>843</v>
      </c>
      <c r="E37" s="17" t="s">
        <v>844</v>
      </c>
      <c r="F37" s="17" t="s">
        <v>845</v>
      </c>
      <c r="G37" s="17" t="s">
        <v>691</v>
      </c>
      <c r="H37" s="17">
        <v>15.0</v>
      </c>
      <c r="I37" s="17" t="s">
        <v>87</v>
      </c>
      <c r="J37" s="17" t="s">
        <v>487</v>
      </c>
      <c r="K37" s="17" t="s">
        <v>846</v>
      </c>
      <c r="L37" s="17" t="s">
        <v>847</v>
      </c>
      <c r="M37" s="17" t="s">
        <v>848</v>
      </c>
    </row>
    <row r="38" ht="27.75" customHeight="1">
      <c r="A38" s="17" t="s">
        <v>275</v>
      </c>
      <c r="B38" s="17" t="s">
        <v>569</v>
      </c>
      <c r="C38" s="17" t="s">
        <v>849</v>
      </c>
      <c r="D38" s="17" t="s">
        <v>850</v>
      </c>
      <c r="E38" s="17" t="s">
        <v>722</v>
      </c>
      <c r="F38" s="17" t="s">
        <v>851</v>
      </c>
      <c r="G38" s="17" t="s">
        <v>691</v>
      </c>
      <c r="H38" s="17">
        <v>10.0</v>
      </c>
      <c r="I38" s="17" t="s">
        <v>91</v>
      </c>
      <c r="J38" s="17" t="s">
        <v>498</v>
      </c>
      <c r="K38" s="17" t="s">
        <v>724</v>
      </c>
      <c r="L38" s="17" t="s">
        <v>725</v>
      </c>
      <c r="M38" s="17" t="s">
        <v>852</v>
      </c>
    </row>
    <row r="39" ht="27.75" customHeight="1">
      <c r="A39" s="17" t="s">
        <v>275</v>
      </c>
      <c r="B39" s="17" t="s">
        <v>569</v>
      </c>
      <c r="C39" s="17" t="s">
        <v>853</v>
      </c>
      <c r="D39" s="17" t="s">
        <v>854</v>
      </c>
      <c r="E39" s="17" t="s">
        <v>855</v>
      </c>
      <c r="F39" s="17" t="s">
        <v>856</v>
      </c>
      <c r="G39" s="17" t="s">
        <v>857</v>
      </c>
      <c r="H39" s="17">
        <v>10.0</v>
      </c>
      <c r="I39" s="17" t="s">
        <v>87</v>
      </c>
      <c r="J39" s="17" t="s">
        <v>481</v>
      </c>
      <c r="K39" s="17" t="s">
        <v>858</v>
      </c>
      <c r="L39" s="17" t="s">
        <v>859</v>
      </c>
      <c r="M39" s="17" t="s">
        <v>860</v>
      </c>
    </row>
    <row r="40" ht="27.75" customHeight="1">
      <c r="A40" s="17" t="s">
        <v>275</v>
      </c>
      <c r="B40" s="17" t="s">
        <v>569</v>
      </c>
      <c r="C40" s="17" t="s">
        <v>861</v>
      </c>
      <c r="D40" s="17" t="s">
        <v>862</v>
      </c>
      <c r="E40" s="17" t="s">
        <v>863</v>
      </c>
      <c r="F40" s="17" t="s">
        <v>864</v>
      </c>
      <c r="G40" s="17" t="s">
        <v>699</v>
      </c>
      <c r="H40" s="17">
        <v>15.0</v>
      </c>
      <c r="I40" s="17" t="s">
        <v>87</v>
      </c>
      <c r="J40" s="17" t="s">
        <v>481</v>
      </c>
      <c r="K40" s="17" t="s">
        <v>743</v>
      </c>
      <c r="L40" s="17" t="s">
        <v>736</v>
      </c>
      <c r="M40" s="17" t="s">
        <v>865</v>
      </c>
    </row>
    <row r="41" ht="27.75" customHeight="1">
      <c r="A41" s="5" t="s">
        <v>271</v>
      </c>
      <c r="B41" s="5" t="s">
        <v>602</v>
      </c>
      <c r="C41" s="5" t="s">
        <v>866</v>
      </c>
      <c r="D41" s="5" t="s">
        <v>607</v>
      </c>
      <c r="E41" s="5" t="s">
        <v>855</v>
      </c>
      <c r="F41" s="5" t="s">
        <v>867</v>
      </c>
      <c r="G41" s="5" t="s">
        <v>868</v>
      </c>
      <c r="H41" s="5">
        <v>15.0</v>
      </c>
      <c r="I41" s="5" t="s">
        <v>87</v>
      </c>
      <c r="J41" s="5" t="s">
        <v>498</v>
      </c>
      <c r="K41" s="5" t="s">
        <v>869</v>
      </c>
      <c r="L41" s="5" t="s">
        <v>870</v>
      </c>
      <c r="M41" s="5" t="s">
        <v>871</v>
      </c>
    </row>
    <row r="42" ht="27.75" customHeight="1">
      <c r="A42" s="5" t="s">
        <v>271</v>
      </c>
      <c r="B42" s="5" t="s">
        <v>602</v>
      </c>
      <c r="C42" s="5" t="s">
        <v>872</v>
      </c>
      <c r="D42" s="5" t="s">
        <v>873</v>
      </c>
      <c r="E42" s="5" t="s">
        <v>697</v>
      </c>
      <c r="F42" s="5" t="s">
        <v>874</v>
      </c>
      <c r="G42" s="5" t="s">
        <v>691</v>
      </c>
      <c r="H42" s="5">
        <v>15.0</v>
      </c>
      <c r="I42" s="5" t="s">
        <v>91</v>
      </c>
      <c r="J42" s="5" t="s">
        <v>498</v>
      </c>
      <c r="K42" s="5" t="s">
        <v>875</v>
      </c>
      <c r="L42" s="5" t="s">
        <v>870</v>
      </c>
      <c r="M42" s="5" t="s">
        <v>876</v>
      </c>
    </row>
    <row r="43" ht="27.75" customHeight="1">
      <c r="A43" s="5" t="s">
        <v>271</v>
      </c>
      <c r="B43" s="5" t="s">
        <v>602</v>
      </c>
      <c r="C43" s="5" t="s">
        <v>877</v>
      </c>
      <c r="D43" s="5" t="s">
        <v>878</v>
      </c>
      <c r="E43" s="5" t="s">
        <v>722</v>
      </c>
      <c r="F43" s="5" t="s">
        <v>879</v>
      </c>
      <c r="G43" s="5" t="s">
        <v>691</v>
      </c>
      <c r="H43" s="5">
        <v>10.0</v>
      </c>
      <c r="I43" s="5" t="s">
        <v>87</v>
      </c>
      <c r="J43" s="5" t="s">
        <v>481</v>
      </c>
      <c r="K43" s="5" t="s">
        <v>724</v>
      </c>
      <c r="L43" s="5" t="s">
        <v>870</v>
      </c>
      <c r="M43" s="5" t="s">
        <v>880</v>
      </c>
    </row>
    <row r="44" ht="27.75" customHeight="1">
      <c r="A44" s="5" t="s">
        <v>271</v>
      </c>
      <c r="B44" s="5" t="s">
        <v>602</v>
      </c>
      <c r="C44" s="5" t="s">
        <v>881</v>
      </c>
      <c r="D44" s="5" t="s">
        <v>882</v>
      </c>
      <c r="E44" s="5" t="s">
        <v>716</v>
      </c>
      <c r="F44" s="5" t="s">
        <v>883</v>
      </c>
      <c r="G44" s="5" t="s">
        <v>691</v>
      </c>
      <c r="H44" s="5">
        <v>10.0</v>
      </c>
      <c r="I44" s="5" t="s">
        <v>87</v>
      </c>
      <c r="J44" s="5" t="s">
        <v>481</v>
      </c>
      <c r="K44" s="5" t="s">
        <v>884</v>
      </c>
      <c r="L44" s="5" t="s">
        <v>870</v>
      </c>
      <c r="M44" s="5" t="s">
        <v>885</v>
      </c>
    </row>
    <row r="45" ht="27.75" customHeight="1">
      <c r="A45" s="5" t="s">
        <v>271</v>
      </c>
      <c r="B45" s="5" t="s">
        <v>602</v>
      </c>
      <c r="C45" s="5" t="s">
        <v>886</v>
      </c>
      <c r="D45" s="5" t="s">
        <v>461</v>
      </c>
      <c r="E45" s="5" t="s">
        <v>733</v>
      </c>
      <c r="F45" s="5" t="s">
        <v>887</v>
      </c>
      <c r="G45" s="5" t="s">
        <v>699</v>
      </c>
      <c r="H45" s="5">
        <v>10.0</v>
      </c>
      <c r="I45" s="5" t="s">
        <v>87</v>
      </c>
      <c r="J45" s="5" t="s">
        <v>481</v>
      </c>
      <c r="K45" s="5" t="s">
        <v>735</v>
      </c>
      <c r="L45" s="5" t="s">
        <v>736</v>
      </c>
      <c r="M45" s="5" t="s">
        <v>737</v>
      </c>
    </row>
    <row r="46" ht="27.75" customHeight="1">
      <c r="A46" s="15" t="s">
        <v>265</v>
      </c>
      <c r="B46" s="15" t="s">
        <v>888</v>
      </c>
      <c r="C46" s="15" t="s">
        <v>786</v>
      </c>
      <c r="D46" s="15" t="s">
        <v>889</v>
      </c>
      <c r="E46" s="15" t="s">
        <v>788</v>
      </c>
      <c r="F46" s="15" t="s">
        <v>890</v>
      </c>
      <c r="G46" s="15" t="s">
        <v>790</v>
      </c>
      <c r="H46" s="15">
        <v>45.0</v>
      </c>
      <c r="I46" s="15" t="s">
        <v>91</v>
      </c>
      <c r="J46" s="15" t="s">
        <v>498</v>
      </c>
      <c r="K46" s="15" t="s">
        <v>891</v>
      </c>
      <c r="L46" s="15" t="s">
        <v>792</v>
      </c>
      <c r="M46" s="15" t="s">
        <v>892</v>
      </c>
    </row>
    <row r="47" ht="27.75" customHeight="1">
      <c r="A47" s="15" t="s">
        <v>265</v>
      </c>
      <c r="B47" s="15" t="s">
        <v>888</v>
      </c>
      <c r="C47" s="15" t="s">
        <v>893</v>
      </c>
      <c r="D47" s="15" t="s">
        <v>629</v>
      </c>
      <c r="E47" s="15" t="s">
        <v>894</v>
      </c>
      <c r="F47" s="15" t="s">
        <v>895</v>
      </c>
      <c r="G47" s="15" t="s">
        <v>868</v>
      </c>
      <c r="H47" s="15">
        <v>20.0</v>
      </c>
      <c r="I47" s="15" t="s">
        <v>87</v>
      </c>
      <c r="J47" s="15" t="s">
        <v>498</v>
      </c>
      <c r="K47" s="15" t="s">
        <v>834</v>
      </c>
      <c r="L47" s="15" t="s">
        <v>835</v>
      </c>
      <c r="M47" s="15" t="s">
        <v>896</v>
      </c>
    </row>
    <row r="48" ht="27.75" customHeight="1">
      <c r="A48" s="15" t="s">
        <v>265</v>
      </c>
      <c r="B48" s="15" t="s">
        <v>888</v>
      </c>
      <c r="C48" s="15" t="s">
        <v>897</v>
      </c>
      <c r="D48" s="15" t="s">
        <v>898</v>
      </c>
      <c r="E48" s="15" t="s">
        <v>682</v>
      </c>
      <c r="F48" s="15" t="s">
        <v>899</v>
      </c>
      <c r="G48" s="15" t="s">
        <v>699</v>
      </c>
      <c r="H48" s="15">
        <v>15.0</v>
      </c>
      <c r="I48" s="15" t="s">
        <v>87</v>
      </c>
      <c r="J48" s="15" t="s">
        <v>487</v>
      </c>
      <c r="K48" s="15" t="s">
        <v>840</v>
      </c>
      <c r="L48" s="15" t="s">
        <v>760</v>
      </c>
      <c r="M48" s="15" t="s">
        <v>896</v>
      </c>
    </row>
    <row r="49" ht="27.75" customHeight="1">
      <c r="A49" s="17" t="s">
        <v>284</v>
      </c>
      <c r="B49" s="17" t="s">
        <v>646</v>
      </c>
      <c r="C49" s="17" t="s">
        <v>900</v>
      </c>
      <c r="D49" s="17" t="s">
        <v>901</v>
      </c>
      <c r="E49" s="17" t="s">
        <v>697</v>
      </c>
      <c r="F49" s="17" t="s">
        <v>902</v>
      </c>
      <c r="G49" s="17" t="s">
        <v>699</v>
      </c>
      <c r="H49" s="17">
        <v>15.0</v>
      </c>
      <c r="I49" s="17" t="s">
        <v>91</v>
      </c>
      <c r="J49" s="17" t="s">
        <v>487</v>
      </c>
      <c r="K49" s="17" t="s">
        <v>903</v>
      </c>
      <c r="L49" s="17" t="s">
        <v>444</v>
      </c>
      <c r="M49" s="17" t="s">
        <v>904</v>
      </c>
    </row>
    <row r="50" ht="27.75" customHeight="1">
      <c r="A50" s="17" t="s">
        <v>284</v>
      </c>
      <c r="B50" s="17" t="s">
        <v>646</v>
      </c>
      <c r="C50" s="17" t="s">
        <v>900</v>
      </c>
      <c r="D50" s="17" t="s">
        <v>905</v>
      </c>
      <c r="E50" s="17" t="s">
        <v>689</v>
      </c>
      <c r="F50" s="17" t="s">
        <v>906</v>
      </c>
      <c r="G50" s="17" t="s">
        <v>684</v>
      </c>
      <c r="H50" s="17">
        <v>15.0</v>
      </c>
      <c r="I50" s="17" t="s">
        <v>87</v>
      </c>
      <c r="J50" s="17" t="s">
        <v>487</v>
      </c>
      <c r="K50" s="17" t="s">
        <v>747</v>
      </c>
      <c r="L50" s="17" t="s">
        <v>693</v>
      </c>
      <c r="M50" s="17" t="s">
        <v>907</v>
      </c>
    </row>
    <row r="51" ht="27.75" customHeight="1">
      <c r="A51" s="17" t="s">
        <v>284</v>
      </c>
      <c r="B51" s="17" t="s">
        <v>646</v>
      </c>
      <c r="C51" s="17" t="s">
        <v>908</v>
      </c>
      <c r="D51" s="17" t="s">
        <v>909</v>
      </c>
      <c r="E51" s="17" t="s">
        <v>682</v>
      </c>
      <c r="F51" s="17" t="s">
        <v>910</v>
      </c>
      <c r="G51" s="17" t="s">
        <v>691</v>
      </c>
      <c r="H51" s="17">
        <v>10.0</v>
      </c>
      <c r="I51" s="17" t="s">
        <v>87</v>
      </c>
      <c r="J51" s="17" t="s">
        <v>487</v>
      </c>
      <c r="K51" s="17" t="s">
        <v>840</v>
      </c>
      <c r="L51" s="17" t="s">
        <v>760</v>
      </c>
      <c r="M51" s="17" t="s">
        <v>907</v>
      </c>
    </row>
    <row r="52" ht="27.75" customHeight="1">
      <c r="A52" s="17" t="s">
        <v>284</v>
      </c>
      <c r="B52" s="17" t="s">
        <v>646</v>
      </c>
      <c r="C52" s="17" t="s">
        <v>911</v>
      </c>
      <c r="D52" s="17" t="s">
        <v>912</v>
      </c>
      <c r="E52" s="17" t="s">
        <v>810</v>
      </c>
      <c r="F52" s="17" t="s">
        <v>913</v>
      </c>
      <c r="G52" s="17" t="s">
        <v>914</v>
      </c>
      <c r="H52" s="17">
        <v>15.0</v>
      </c>
      <c r="I52" s="17" t="s">
        <v>87</v>
      </c>
      <c r="J52" s="17" t="s">
        <v>498</v>
      </c>
      <c r="K52" s="17" t="s">
        <v>915</v>
      </c>
      <c r="L52" s="17" t="s">
        <v>835</v>
      </c>
      <c r="M52" s="17" t="s">
        <v>907</v>
      </c>
    </row>
    <row r="53" ht="27.75" customHeight="1">
      <c r="A53" s="17" t="s">
        <v>284</v>
      </c>
      <c r="B53" s="17" t="s">
        <v>646</v>
      </c>
      <c r="C53" s="17" t="s">
        <v>916</v>
      </c>
      <c r="D53" s="17" t="s">
        <v>917</v>
      </c>
      <c r="E53" s="17" t="s">
        <v>740</v>
      </c>
      <c r="F53" s="17" t="s">
        <v>918</v>
      </c>
      <c r="G53" s="17" t="s">
        <v>699</v>
      </c>
      <c r="H53" s="17">
        <v>15.0</v>
      </c>
      <c r="I53" s="17" t="s">
        <v>87</v>
      </c>
      <c r="J53" s="17" t="s">
        <v>481</v>
      </c>
      <c r="K53" s="17" t="s">
        <v>743</v>
      </c>
      <c r="L53" s="17" t="s">
        <v>736</v>
      </c>
      <c r="M53" s="17" t="s">
        <v>907</v>
      </c>
    </row>
    <row r="54" ht="27.75" customHeight="1">
      <c r="A54" s="17" t="s">
        <v>284</v>
      </c>
      <c r="B54" s="17" t="s">
        <v>646</v>
      </c>
      <c r="C54" s="17" t="s">
        <v>919</v>
      </c>
      <c r="D54" s="17" t="s">
        <v>920</v>
      </c>
      <c r="E54" s="17" t="s">
        <v>921</v>
      </c>
      <c r="F54" s="17" t="s">
        <v>922</v>
      </c>
      <c r="G54" s="17" t="s">
        <v>691</v>
      </c>
      <c r="H54" s="17">
        <v>10.0</v>
      </c>
      <c r="I54" s="17" t="s">
        <v>91</v>
      </c>
      <c r="J54" s="17" t="s">
        <v>498</v>
      </c>
      <c r="K54" s="17" t="s">
        <v>923</v>
      </c>
      <c r="L54" s="17" t="s">
        <v>444</v>
      </c>
      <c r="M54" s="17" t="s">
        <v>924</v>
      </c>
    </row>
    <row r="55" ht="27.75" customHeight="1">
      <c r="A55" s="17" t="s">
        <v>284</v>
      </c>
      <c r="B55" s="17" t="s">
        <v>646</v>
      </c>
      <c r="C55" s="17" t="s">
        <v>925</v>
      </c>
      <c r="D55" s="17" t="s">
        <v>926</v>
      </c>
      <c r="E55" s="17" t="s">
        <v>810</v>
      </c>
      <c r="F55" s="17" t="s">
        <v>927</v>
      </c>
      <c r="G55" s="17" t="s">
        <v>928</v>
      </c>
      <c r="H55" s="17">
        <v>15.0</v>
      </c>
      <c r="I55" s="17" t="s">
        <v>87</v>
      </c>
      <c r="J55" s="17" t="s">
        <v>481</v>
      </c>
      <c r="K55" s="17" t="s">
        <v>813</v>
      </c>
      <c r="L55" s="17" t="s">
        <v>814</v>
      </c>
      <c r="M55" s="17" t="s">
        <v>907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40.0"/>
    <col customWidth="1" min="3" max="3" width="26.0"/>
    <col customWidth="1" min="4" max="4" width="34.0"/>
    <col customWidth="1" min="5" max="5" width="30.0"/>
    <col customWidth="1" min="6" max="7" width="16.0"/>
    <col customWidth="1" min="8" max="9" width="34.0"/>
    <col customWidth="1" min="10" max="10" width="30.0"/>
    <col customWidth="1" min="11" max="26" width="8.71"/>
  </cols>
  <sheetData>
    <row r="1" ht="33.75" customHeight="1">
      <c r="A1" s="6" t="s">
        <v>929</v>
      </c>
      <c r="B1" s="2"/>
      <c r="C1" s="2"/>
      <c r="D1" s="2"/>
      <c r="E1" s="2"/>
      <c r="F1" s="2"/>
      <c r="G1" s="2"/>
      <c r="H1" s="2"/>
      <c r="I1" s="2"/>
      <c r="J1" s="3"/>
    </row>
    <row r="2" ht="27.75" customHeight="1">
      <c r="A2" s="7" t="s">
        <v>930</v>
      </c>
    </row>
    <row r="4">
      <c r="A4" s="4" t="s">
        <v>931</v>
      </c>
      <c r="B4" s="4" t="s">
        <v>932</v>
      </c>
      <c r="C4" s="4" t="s">
        <v>34</v>
      </c>
      <c r="D4" s="4" t="s">
        <v>933</v>
      </c>
      <c r="E4" s="4" t="s">
        <v>673</v>
      </c>
      <c r="F4" s="4" t="s">
        <v>934</v>
      </c>
      <c r="G4" s="4" t="s">
        <v>935</v>
      </c>
      <c r="H4" s="4" t="s">
        <v>936</v>
      </c>
      <c r="I4" s="4" t="s">
        <v>937</v>
      </c>
      <c r="J4" s="4" t="s">
        <v>938</v>
      </c>
    </row>
    <row r="5" ht="31.5" customHeight="1">
      <c r="A5" s="5" t="s">
        <v>693</v>
      </c>
      <c r="B5" s="5" t="s">
        <v>939</v>
      </c>
      <c r="C5" s="5" t="s">
        <v>940</v>
      </c>
      <c r="D5" s="5" t="s">
        <v>941</v>
      </c>
      <c r="E5" s="5" t="s">
        <v>942</v>
      </c>
      <c r="F5" s="5" t="s">
        <v>943</v>
      </c>
      <c r="G5" s="5" t="s">
        <v>87</v>
      </c>
      <c r="H5" s="5" t="s">
        <v>944</v>
      </c>
      <c r="I5" s="5" t="s">
        <v>945</v>
      </c>
      <c r="J5" s="5" t="s">
        <v>946</v>
      </c>
    </row>
    <row r="6" ht="31.5" customHeight="1">
      <c r="A6" s="5" t="s">
        <v>760</v>
      </c>
      <c r="B6" s="5" t="s">
        <v>947</v>
      </c>
      <c r="C6" s="5" t="s">
        <v>948</v>
      </c>
      <c r="D6" s="5" t="s">
        <v>949</v>
      </c>
      <c r="E6" s="5" t="s">
        <v>950</v>
      </c>
      <c r="F6" s="5" t="s">
        <v>951</v>
      </c>
      <c r="G6" s="5" t="s">
        <v>952</v>
      </c>
      <c r="H6" s="5" t="s">
        <v>953</v>
      </c>
      <c r="I6" s="5" t="s">
        <v>954</v>
      </c>
      <c r="J6" s="5" t="s">
        <v>955</v>
      </c>
    </row>
    <row r="7" ht="31.5" customHeight="1">
      <c r="A7" s="5" t="s">
        <v>835</v>
      </c>
      <c r="B7" s="5" t="s">
        <v>956</v>
      </c>
      <c r="C7" s="5" t="s">
        <v>957</v>
      </c>
      <c r="D7" s="5" t="s">
        <v>958</v>
      </c>
      <c r="E7" s="5" t="s">
        <v>959</v>
      </c>
      <c r="F7" s="5" t="s">
        <v>951</v>
      </c>
      <c r="G7" s="5" t="s">
        <v>87</v>
      </c>
      <c r="H7" s="5" t="s">
        <v>960</v>
      </c>
      <c r="I7" s="5" t="s">
        <v>961</v>
      </c>
      <c r="J7" s="5" t="s">
        <v>962</v>
      </c>
    </row>
    <row r="8" ht="31.5" customHeight="1">
      <c r="A8" s="5" t="s">
        <v>814</v>
      </c>
      <c r="B8" s="5" t="s">
        <v>963</v>
      </c>
      <c r="C8" s="5" t="s">
        <v>964</v>
      </c>
      <c r="D8" s="5" t="s">
        <v>965</v>
      </c>
      <c r="E8" s="5" t="s">
        <v>966</v>
      </c>
      <c r="F8" s="5" t="s">
        <v>967</v>
      </c>
      <c r="G8" s="5" t="s">
        <v>87</v>
      </c>
      <c r="H8" s="5" t="s">
        <v>968</v>
      </c>
      <c r="I8" s="5" t="s">
        <v>969</v>
      </c>
      <c r="J8" s="5" t="s">
        <v>970</v>
      </c>
    </row>
    <row r="9" ht="31.5" customHeight="1">
      <c r="A9" s="5" t="s">
        <v>712</v>
      </c>
      <c r="B9" s="5" t="s">
        <v>971</v>
      </c>
      <c r="C9" s="5" t="s">
        <v>972</v>
      </c>
      <c r="D9" s="5" t="s">
        <v>973</v>
      </c>
      <c r="E9" s="5" t="s">
        <v>691</v>
      </c>
      <c r="F9" s="5" t="s">
        <v>951</v>
      </c>
      <c r="G9" s="5" t="s">
        <v>952</v>
      </c>
      <c r="H9" s="5" t="s">
        <v>974</v>
      </c>
      <c r="I9" s="5" t="s">
        <v>975</v>
      </c>
      <c r="J9" s="5" t="s">
        <v>724</v>
      </c>
    </row>
    <row r="10" ht="31.5" customHeight="1">
      <c r="A10" s="5" t="s">
        <v>847</v>
      </c>
      <c r="B10" s="5" t="s">
        <v>976</v>
      </c>
      <c r="C10" s="5" t="s">
        <v>977</v>
      </c>
      <c r="D10" s="5" t="s">
        <v>978</v>
      </c>
      <c r="E10" s="5" t="s">
        <v>691</v>
      </c>
      <c r="F10" s="5" t="s">
        <v>967</v>
      </c>
      <c r="G10" s="5" t="s">
        <v>87</v>
      </c>
      <c r="H10" s="5" t="s">
        <v>979</v>
      </c>
      <c r="I10" s="5" t="s">
        <v>980</v>
      </c>
      <c r="J10" s="5" t="s">
        <v>724</v>
      </c>
    </row>
    <row r="11" ht="31.5" customHeight="1">
      <c r="A11" s="5" t="s">
        <v>799</v>
      </c>
      <c r="B11" s="5" t="s">
        <v>981</v>
      </c>
      <c r="C11" s="5" t="s">
        <v>982</v>
      </c>
      <c r="D11" s="5" t="s">
        <v>983</v>
      </c>
      <c r="E11" s="5" t="s">
        <v>984</v>
      </c>
      <c r="F11" s="5" t="s">
        <v>985</v>
      </c>
      <c r="G11" s="5" t="s">
        <v>91</v>
      </c>
      <c r="H11" s="5" t="s">
        <v>986</v>
      </c>
      <c r="I11" s="5" t="s">
        <v>987</v>
      </c>
      <c r="J11" s="5" t="s">
        <v>988</v>
      </c>
    </row>
    <row r="12" ht="31.5" customHeight="1">
      <c r="A12" s="5" t="s">
        <v>807</v>
      </c>
      <c r="B12" s="5" t="s">
        <v>989</v>
      </c>
      <c r="C12" s="5" t="s">
        <v>982</v>
      </c>
      <c r="D12" s="5" t="s">
        <v>990</v>
      </c>
      <c r="E12" s="5" t="s">
        <v>991</v>
      </c>
      <c r="F12" s="5" t="s">
        <v>943</v>
      </c>
      <c r="G12" s="5" t="s">
        <v>952</v>
      </c>
      <c r="H12" s="5" t="s">
        <v>992</v>
      </c>
      <c r="I12" s="5" t="s">
        <v>993</v>
      </c>
      <c r="J12" s="5" t="s">
        <v>994</v>
      </c>
    </row>
    <row r="13" ht="31.5" customHeight="1">
      <c r="A13" s="5" t="s">
        <v>725</v>
      </c>
      <c r="B13" s="5" t="s">
        <v>995</v>
      </c>
      <c r="C13" s="5" t="s">
        <v>996</v>
      </c>
      <c r="D13" s="5" t="s">
        <v>997</v>
      </c>
      <c r="E13" s="5" t="s">
        <v>998</v>
      </c>
      <c r="F13" s="5" t="s">
        <v>999</v>
      </c>
      <c r="G13" s="5" t="s">
        <v>91</v>
      </c>
      <c r="H13" s="5" t="s">
        <v>1000</v>
      </c>
      <c r="I13" s="5" t="s">
        <v>724</v>
      </c>
      <c r="J13" s="5" t="s">
        <v>724</v>
      </c>
    </row>
    <row r="14" ht="31.5" customHeight="1">
      <c r="A14" s="5" t="s">
        <v>736</v>
      </c>
      <c r="B14" s="5" t="s">
        <v>1001</v>
      </c>
      <c r="C14" s="5" t="s">
        <v>1002</v>
      </c>
      <c r="D14" s="5" t="s">
        <v>1003</v>
      </c>
      <c r="E14" s="5" t="s">
        <v>950</v>
      </c>
      <c r="F14" s="5" t="s">
        <v>1004</v>
      </c>
      <c r="G14" s="5" t="s">
        <v>87</v>
      </c>
      <c r="H14" s="5" t="s">
        <v>724</v>
      </c>
      <c r="I14" s="5" t="s">
        <v>1005</v>
      </c>
      <c r="J14" s="5" t="s">
        <v>724</v>
      </c>
    </row>
    <row r="15" ht="31.5" customHeight="1">
      <c r="A15" s="5" t="s">
        <v>859</v>
      </c>
      <c r="B15" s="5" t="s">
        <v>1006</v>
      </c>
      <c r="C15" s="5" t="s">
        <v>275</v>
      </c>
      <c r="D15" s="5" t="s">
        <v>1007</v>
      </c>
      <c r="E15" s="5" t="s">
        <v>1008</v>
      </c>
      <c r="F15" s="5" t="s">
        <v>999</v>
      </c>
      <c r="G15" s="5" t="s">
        <v>87</v>
      </c>
      <c r="H15" s="5" t="s">
        <v>724</v>
      </c>
      <c r="I15" s="5" t="s">
        <v>1009</v>
      </c>
      <c r="J15" s="5" t="s">
        <v>1010</v>
      </c>
    </row>
    <row r="16" ht="31.5" customHeight="1">
      <c r="A16" s="5" t="s">
        <v>701</v>
      </c>
      <c r="B16" s="5" t="s">
        <v>1011</v>
      </c>
      <c r="C16" s="5" t="s">
        <v>972</v>
      </c>
      <c r="D16" s="5" t="s">
        <v>1012</v>
      </c>
      <c r="E16" s="5" t="s">
        <v>699</v>
      </c>
      <c r="F16" s="5" t="s">
        <v>967</v>
      </c>
      <c r="G16" s="5" t="s">
        <v>91</v>
      </c>
      <c r="H16" s="5" t="s">
        <v>1013</v>
      </c>
      <c r="I16" s="5" t="s">
        <v>700</v>
      </c>
      <c r="J16" s="5" t="s">
        <v>724</v>
      </c>
    </row>
    <row r="17" ht="31.5" customHeight="1">
      <c r="A17" s="17" t="s">
        <v>870</v>
      </c>
      <c r="B17" s="17" t="s">
        <v>1014</v>
      </c>
      <c r="C17" s="17" t="s">
        <v>271</v>
      </c>
      <c r="D17" s="17" t="s">
        <v>1015</v>
      </c>
      <c r="E17" s="17" t="s">
        <v>1016</v>
      </c>
      <c r="F17" s="17" t="s">
        <v>951</v>
      </c>
      <c r="G17" s="17" t="s">
        <v>952</v>
      </c>
      <c r="H17" s="17" t="s">
        <v>1017</v>
      </c>
      <c r="I17" s="17" t="s">
        <v>1018</v>
      </c>
      <c r="J17" s="17" t="s">
        <v>1019</v>
      </c>
    </row>
    <row r="18" ht="31.5" customHeight="1">
      <c r="A18" s="17" t="s">
        <v>792</v>
      </c>
      <c r="B18" s="17" t="s">
        <v>1020</v>
      </c>
      <c r="C18" s="17" t="s">
        <v>1021</v>
      </c>
      <c r="D18" s="17" t="s">
        <v>1022</v>
      </c>
      <c r="E18" s="17" t="s">
        <v>1023</v>
      </c>
      <c r="F18" s="17" t="s">
        <v>1024</v>
      </c>
      <c r="G18" s="17" t="s">
        <v>1025</v>
      </c>
      <c r="H18" s="17" t="s">
        <v>1026</v>
      </c>
      <c r="I18" s="17" t="s">
        <v>1027</v>
      </c>
      <c r="J18" s="17" t="s">
        <v>1028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55.0"/>
    <col customWidth="1" min="4" max="5" width="40.0"/>
    <col customWidth="1" min="6" max="26" width="8.71"/>
  </cols>
  <sheetData>
    <row r="1" ht="25.5" customHeight="1">
      <c r="A1" s="6" t="s">
        <v>1029</v>
      </c>
      <c r="B1" s="2"/>
      <c r="C1" s="2"/>
      <c r="D1" s="2"/>
      <c r="E1" s="3"/>
    </row>
    <row r="2" ht="27.75" customHeight="1">
      <c r="A2" s="7" t="s">
        <v>1030</v>
      </c>
    </row>
    <row r="4">
      <c r="A4" s="4" t="s">
        <v>931</v>
      </c>
      <c r="B4" s="4" t="s">
        <v>1031</v>
      </c>
      <c r="C4" s="4" t="s">
        <v>1032</v>
      </c>
      <c r="D4" s="4" t="s">
        <v>1033</v>
      </c>
      <c r="E4" s="4" t="s">
        <v>1034</v>
      </c>
    </row>
    <row r="5" ht="30.0" customHeight="1">
      <c r="A5" s="5" t="s">
        <v>693</v>
      </c>
      <c r="B5" s="5">
        <v>1.0</v>
      </c>
      <c r="C5" s="5" t="s">
        <v>1035</v>
      </c>
      <c r="D5" s="5" t="s">
        <v>1036</v>
      </c>
      <c r="E5" s="5" t="s">
        <v>1037</v>
      </c>
    </row>
    <row r="6" ht="30.0" customHeight="1">
      <c r="A6" s="5" t="s">
        <v>693</v>
      </c>
      <c r="B6" s="5">
        <v>2.0</v>
      </c>
      <c r="C6" s="5" t="s">
        <v>1038</v>
      </c>
      <c r="D6" s="5" t="s">
        <v>1039</v>
      </c>
      <c r="E6" s="5" t="s">
        <v>1040</v>
      </c>
    </row>
    <row r="7" ht="30.0" customHeight="1">
      <c r="A7" s="5" t="s">
        <v>693</v>
      </c>
      <c r="B7" s="5">
        <v>3.0</v>
      </c>
      <c r="C7" s="5" t="s">
        <v>1041</v>
      </c>
      <c r="D7" s="5" t="s">
        <v>1042</v>
      </c>
      <c r="E7" s="5" t="s">
        <v>1043</v>
      </c>
    </row>
    <row r="8" ht="30.0" customHeight="1">
      <c r="A8" s="5" t="s">
        <v>693</v>
      </c>
      <c r="B8" s="5">
        <v>4.0</v>
      </c>
      <c r="C8" s="5" t="s">
        <v>1044</v>
      </c>
      <c r="D8" s="5" t="s">
        <v>1045</v>
      </c>
      <c r="E8" s="5" t="s">
        <v>1046</v>
      </c>
    </row>
    <row r="9" ht="30.0" customHeight="1">
      <c r="A9" s="5" t="s">
        <v>693</v>
      </c>
      <c r="B9" s="5">
        <v>5.0</v>
      </c>
      <c r="C9" s="5" t="s">
        <v>1047</v>
      </c>
      <c r="D9" s="5" t="s">
        <v>1048</v>
      </c>
      <c r="E9" s="5" t="s">
        <v>1049</v>
      </c>
    </row>
    <row r="10" ht="30.0" customHeight="1">
      <c r="A10" s="5" t="s">
        <v>693</v>
      </c>
      <c r="B10" s="5">
        <v>6.0</v>
      </c>
      <c r="C10" s="5" t="s">
        <v>1050</v>
      </c>
      <c r="D10" s="5" t="s">
        <v>1051</v>
      </c>
      <c r="E10" s="5" t="s">
        <v>1052</v>
      </c>
    </row>
    <row r="11" ht="30.0" customHeight="1">
      <c r="A11" s="5" t="s">
        <v>760</v>
      </c>
      <c r="B11" s="5">
        <v>1.0</v>
      </c>
      <c r="C11" s="5" t="s">
        <v>1053</v>
      </c>
      <c r="D11" s="5" t="s">
        <v>1054</v>
      </c>
      <c r="E11" s="5" t="s">
        <v>1055</v>
      </c>
    </row>
    <row r="12" ht="30.0" customHeight="1">
      <c r="A12" s="5" t="s">
        <v>760</v>
      </c>
      <c r="B12" s="5">
        <v>2.0</v>
      </c>
      <c r="C12" s="5" t="s">
        <v>1056</v>
      </c>
      <c r="D12" s="5" t="s">
        <v>1057</v>
      </c>
      <c r="E12" s="5" t="s">
        <v>1058</v>
      </c>
    </row>
    <row r="13" ht="30.0" customHeight="1">
      <c r="A13" s="5" t="s">
        <v>760</v>
      </c>
      <c r="B13" s="5">
        <v>3.0</v>
      </c>
      <c r="C13" s="5" t="s">
        <v>1059</v>
      </c>
      <c r="D13" s="5" t="s">
        <v>1060</v>
      </c>
      <c r="E13" s="5" t="s">
        <v>1061</v>
      </c>
    </row>
    <row r="14" ht="30.0" customHeight="1">
      <c r="A14" s="5" t="s">
        <v>760</v>
      </c>
      <c r="B14" s="5">
        <v>4.0</v>
      </c>
      <c r="C14" s="5" t="s">
        <v>1062</v>
      </c>
      <c r="D14" s="5" t="s">
        <v>1063</v>
      </c>
      <c r="E14" s="5" t="s">
        <v>1064</v>
      </c>
    </row>
    <row r="15" ht="30.0" customHeight="1">
      <c r="A15" s="5" t="s">
        <v>760</v>
      </c>
      <c r="B15" s="5">
        <v>5.0</v>
      </c>
      <c r="C15" s="5" t="s">
        <v>1065</v>
      </c>
      <c r="D15" s="5" t="s">
        <v>1066</v>
      </c>
      <c r="E15" s="5" t="s">
        <v>1067</v>
      </c>
    </row>
    <row r="16" ht="30.0" customHeight="1">
      <c r="A16" s="5" t="s">
        <v>760</v>
      </c>
      <c r="B16" s="5">
        <v>6.0</v>
      </c>
      <c r="C16" s="5" t="s">
        <v>1068</v>
      </c>
      <c r="D16" s="5" t="s">
        <v>1069</v>
      </c>
      <c r="E16" s="5" t="s">
        <v>1070</v>
      </c>
    </row>
    <row r="17" ht="30.0" customHeight="1">
      <c r="A17" s="5" t="s">
        <v>835</v>
      </c>
      <c r="B17" s="5">
        <v>1.0</v>
      </c>
      <c r="C17" s="5" t="s">
        <v>1071</v>
      </c>
      <c r="D17" s="5" t="s">
        <v>1072</v>
      </c>
      <c r="E17" s="5" t="s">
        <v>1073</v>
      </c>
    </row>
    <row r="18" ht="30.0" customHeight="1">
      <c r="A18" s="5" t="s">
        <v>835</v>
      </c>
      <c r="B18" s="5">
        <v>2.0</v>
      </c>
      <c r="C18" s="5" t="s">
        <v>1074</v>
      </c>
      <c r="D18" s="5" t="s">
        <v>1075</v>
      </c>
      <c r="E18" s="5" t="s">
        <v>1076</v>
      </c>
    </row>
    <row r="19" ht="30.0" customHeight="1">
      <c r="A19" s="5" t="s">
        <v>835</v>
      </c>
      <c r="B19" s="5">
        <v>3.0</v>
      </c>
      <c r="C19" s="5" t="s">
        <v>1077</v>
      </c>
      <c r="D19" s="5" t="s">
        <v>1078</v>
      </c>
      <c r="E19" s="5" t="s">
        <v>1079</v>
      </c>
    </row>
    <row r="20" ht="30.0" customHeight="1">
      <c r="A20" s="5" t="s">
        <v>835</v>
      </c>
      <c r="B20" s="5">
        <v>4.0</v>
      </c>
      <c r="C20" s="5" t="s">
        <v>1080</v>
      </c>
      <c r="D20" s="5" t="s">
        <v>1081</v>
      </c>
      <c r="E20" s="5" t="s">
        <v>1082</v>
      </c>
    </row>
    <row r="21" ht="30.0" customHeight="1">
      <c r="A21" s="5" t="s">
        <v>835</v>
      </c>
      <c r="B21" s="5">
        <v>5.0</v>
      </c>
      <c r="C21" s="5" t="s">
        <v>1083</v>
      </c>
      <c r="D21" s="5" t="s">
        <v>1084</v>
      </c>
      <c r="E21" s="5" t="s">
        <v>1085</v>
      </c>
    </row>
    <row r="22" ht="30.0" customHeight="1">
      <c r="A22" s="5" t="s">
        <v>835</v>
      </c>
      <c r="B22" s="5">
        <v>6.0</v>
      </c>
      <c r="C22" s="5" t="s">
        <v>1086</v>
      </c>
      <c r="D22" s="5" t="s">
        <v>1087</v>
      </c>
      <c r="E22" s="5" t="s">
        <v>1088</v>
      </c>
    </row>
    <row r="23" ht="30.0" customHeight="1">
      <c r="A23" s="5" t="s">
        <v>814</v>
      </c>
      <c r="B23" s="5">
        <v>1.0</v>
      </c>
      <c r="C23" s="5" t="s">
        <v>1089</v>
      </c>
      <c r="D23" s="5" t="s">
        <v>1090</v>
      </c>
      <c r="E23" s="5" t="s">
        <v>1091</v>
      </c>
    </row>
    <row r="24" ht="30.0" customHeight="1">
      <c r="A24" s="5" t="s">
        <v>814</v>
      </c>
      <c r="B24" s="5">
        <v>2.0</v>
      </c>
      <c r="C24" s="5" t="s">
        <v>1092</v>
      </c>
      <c r="D24" s="5" t="s">
        <v>1093</v>
      </c>
      <c r="E24" s="5" t="s">
        <v>1094</v>
      </c>
    </row>
    <row r="25" ht="30.0" customHeight="1">
      <c r="A25" s="5" t="s">
        <v>814</v>
      </c>
      <c r="B25" s="5">
        <v>3.0</v>
      </c>
      <c r="C25" s="5" t="s">
        <v>1095</v>
      </c>
      <c r="D25" s="5" t="s">
        <v>1096</v>
      </c>
      <c r="E25" s="5" t="s">
        <v>1097</v>
      </c>
    </row>
    <row r="26" ht="30.0" customHeight="1">
      <c r="A26" s="5" t="s">
        <v>814</v>
      </c>
      <c r="B26" s="5">
        <v>4.0</v>
      </c>
      <c r="C26" s="5" t="s">
        <v>1098</v>
      </c>
      <c r="D26" s="5" t="s">
        <v>1099</v>
      </c>
      <c r="E26" s="5" t="s">
        <v>1100</v>
      </c>
    </row>
    <row r="27" ht="30.0" customHeight="1">
      <c r="A27" s="5" t="s">
        <v>814</v>
      </c>
      <c r="B27" s="5">
        <v>5.0</v>
      </c>
      <c r="C27" s="5" t="s">
        <v>1101</v>
      </c>
      <c r="D27" s="5" t="s">
        <v>1102</v>
      </c>
      <c r="E27" s="5" t="s">
        <v>1103</v>
      </c>
    </row>
    <row r="28" ht="30.0" customHeight="1">
      <c r="A28" s="5" t="s">
        <v>814</v>
      </c>
      <c r="B28" s="5">
        <v>6.0</v>
      </c>
      <c r="C28" s="5" t="s">
        <v>1104</v>
      </c>
      <c r="D28" s="5" t="s">
        <v>1105</v>
      </c>
      <c r="E28" s="5" t="s">
        <v>1106</v>
      </c>
    </row>
    <row r="29" ht="30.0" customHeight="1">
      <c r="A29" s="5" t="s">
        <v>712</v>
      </c>
      <c r="B29" s="5">
        <v>1.0</v>
      </c>
      <c r="C29" s="5" t="s">
        <v>1107</v>
      </c>
      <c r="D29" s="5" t="s">
        <v>1108</v>
      </c>
      <c r="E29" s="5" t="s">
        <v>1091</v>
      </c>
    </row>
    <row r="30" ht="30.0" customHeight="1">
      <c r="A30" s="5" t="s">
        <v>712</v>
      </c>
      <c r="B30" s="5">
        <v>2.0</v>
      </c>
      <c r="C30" s="5" t="s">
        <v>1109</v>
      </c>
      <c r="D30" s="5" t="s">
        <v>1110</v>
      </c>
      <c r="E30" s="5" t="s">
        <v>1111</v>
      </c>
    </row>
    <row r="31" ht="30.0" customHeight="1">
      <c r="A31" s="5" t="s">
        <v>712</v>
      </c>
      <c r="B31" s="5">
        <v>3.0</v>
      </c>
      <c r="C31" s="5" t="s">
        <v>1112</v>
      </c>
      <c r="D31" s="5" t="s">
        <v>1113</v>
      </c>
      <c r="E31" s="5" t="s">
        <v>1114</v>
      </c>
    </row>
    <row r="32" ht="30.0" customHeight="1">
      <c r="A32" s="5" t="s">
        <v>712</v>
      </c>
      <c r="B32" s="5">
        <v>4.0</v>
      </c>
      <c r="C32" s="5" t="s">
        <v>1115</v>
      </c>
      <c r="D32" s="5" t="s">
        <v>1116</v>
      </c>
      <c r="E32" s="5" t="s">
        <v>1117</v>
      </c>
    </row>
    <row r="33" ht="30.0" customHeight="1">
      <c r="A33" s="5" t="s">
        <v>712</v>
      </c>
      <c r="B33" s="5">
        <v>5.0</v>
      </c>
      <c r="C33" s="5" t="s">
        <v>1118</v>
      </c>
      <c r="D33" s="5" t="s">
        <v>1119</v>
      </c>
      <c r="E33" s="5" t="s">
        <v>1120</v>
      </c>
    </row>
    <row r="34" ht="30.0" customHeight="1">
      <c r="A34" s="5" t="s">
        <v>712</v>
      </c>
      <c r="B34" s="5">
        <v>6.0</v>
      </c>
      <c r="C34" s="5" t="s">
        <v>1121</v>
      </c>
      <c r="D34" s="5" t="s">
        <v>1122</v>
      </c>
      <c r="E34" s="5" t="s">
        <v>444</v>
      </c>
    </row>
    <row r="35" ht="30.0" customHeight="1">
      <c r="A35" s="5" t="s">
        <v>847</v>
      </c>
      <c r="B35" s="5">
        <v>1.0</v>
      </c>
      <c r="C35" s="5" t="s">
        <v>1123</v>
      </c>
      <c r="D35" s="5" t="s">
        <v>1124</v>
      </c>
      <c r="E35" s="5" t="s">
        <v>1125</v>
      </c>
    </row>
    <row r="36" ht="30.0" customHeight="1">
      <c r="A36" s="5" t="s">
        <v>847</v>
      </c>
      <c r="B36" s="5">
        <v>2.0</v>
      </c>
      <c r="C36" s="5" t="s">
        <v>1126</v>
      </c>
      <c r="D36" s="5" t="s">
        <v>1127</v>
      </c>
      <c r="E36" s="5" t="s">
        <v>444</v>
      </c>
    </row>
    <row r="37" ht="30.0" customHeight="1">
      <c r="A37" s="5" t="s">
        <v>847</v>
      </c>
      <c r="B37" s="5">
        <v>3.0</v>
      </c>
      <c r="C37" s="5" t="s">
        <v>1128</v>
      </c>
      <c r="D37" s="5" t="s">
        <v>1129</v>
      </c>
      <c r="E37" s="5" t="s">
        <v>1130</v>
      </c>
    </row>
    <row r="38" ht="30.0" customHeight="1">
      <c r="A38" s="5" t="s">
        <v>847</v>
      </c>
      <c r="B38" s="5">
        <v>4.0</v>
      </c>
      <c r="C38" s="5" t="s">
        <v>1131</v>
      </c>
      <c r="D38" s="5" t="s">
        <v>1132</v>
      </c>
      <c r="E38" s="5" t="s">
        <v>1133</v>
      </c>
    </row>
    <row r="39" ht="30.0" customHeight="1">
      <c r="A39" s="5" t="s">
        <v>847</v>
      </c>
      <c r="B39" s="5">
        <v>5.0</v>
      </c>
      <c r="C39" s="5" t="s">
        <v>1134</v>
      </c>
      <c r="D39" s="5" t="s">
        <v>1135</v>
      </c>
      <c r="E39" s="5" t="s">
        <v>444</v>
      </c>
    </row>
    <row r="40" ht="30.0" customHeight="1">
      <c r="A40" s="5" t="s">
        <v>847</v>
      </c>
      <c r="B40" s="5">
        <v>6.0</v>
      </c>
      <c r="C40" s="5" t="s">
        <v>1136</v>
      </c>
      <c r="D40" s="5" t="s">
        <v>1122</v>
      </c>
      <c r="E40" s="5" t="s">
        <v>444</v>
      </c>
    </row>
    <row r="41" ht="30.0" customHeight="1">
      <c r="A41" s="5" t="s">
        <v>799</v>
      </c>
      <c r="B41" s="5">
        <v>1.0</v>
      </c>
      <c r="C41" s="5" t="s">
        <v>1137</v>
      </c>
      <c r="D41" s="5" t="s">
        <v>1138</v>
      </c>
      <c r="E41" s="5" t="s">
        <v>1139</v>
      </c>
    </row>
    <row r="42" ht="30.0" customHeight="1">
      <c r="A42" s="5" t="s">
        <v>799</v>
      </c>
      <c r="B42" s="5">
        <v>2.0</v>
      </c>
      <c r="C42" s="5" t="s">
        <v>1140</v>
      </c>
      <c r="D42" s="5" t="s">
        <v>1141</v>
      </c>
      <c r="E42" s="5" t="s">
        <v>1142</v>
      </c>
    </row>
    <row r="43" ht="30.0" customHeight="1">
      <c r="A43" s="5" t="s">
        <v>799</v>
      </c>
      <c r="B43" s="5">
        <v>3.0</v>
      </c>
      <c r="C43" s="5" t="s">
        <v>1143</v>
      </c>
      <c r="D43" s="5" t="s">
        <v>1144</v>
      </c>
      <c r="E43" s="5" t="s">
        <v>1145</v>
      </c>
    </row>
    <row r="44" ht="30.0" customHeight="1">
      <c r="A44" s="5" t="s">
        <v>799</v>
      </c>
      <c r="B44" s="5">
        <v>4.0</v>
      </c>
      <c r="C44" s="5" t="s">
        <v>1146</v>
      </c>
      <c r="D44" s="5" t="s">
        <v>1147</v>
      </c>
      <c r="E44" s="5" t="s">
        <v>1148</v>
      </c>
    </row>
    <row r="45" ht="30.0" customHeight="1">
      <c r="A45" s="5" t="s">
        <v>799</v>
      </c>
      <c r="B45" s="5">
        <v>5.0</v>
      </c>
      <c r="C45" s="5" t="s">
        <v>1149</v>
      </c>
      <c r="D45" s="5" t="s">
        <v>1150</v>
      </c>
      <c r="E45" s="5" t="s">
        <v>1151</v>
      </c>
    </row>
    <row r="46" ht="30.0" customHeight="1">
      <c r="A46" s="5" t="s">
        <v>799</v>
      </c>
      <c r="B46" s="5">
        <v>6.0</v>
      </c>
      <c r="C46" s="5" t="s">
        <v>1152</v>
      </c>
      <c r="D46" s="5" t="s">
        <v>1153</v>
      </c>
      <c r="E46" s="5" t="s">
        <v>444</v>
      </c>
    </row>
    <row r="47" ht="30.0" customHeight="1">
      <c r="A47" s="5" t="s">
        <v>807</v>
      </c>
      <c r="B47" s="5">
        <v>1.0</v>
      </c>
      <c r="C47" s="5" t="s">
        <v>1053</v>
      </c>
      <c r="D47" s="5" t="s">
        <v>1054</v>
      </c>
      <c r="E47" s="5" t="s">
        <v>444</v>
      </c>
    </row>
    <row r="48" ht="30.0" customHeight="1">
      <c r="A48" s="5" t="s">
        <v>807</v>
      </c>
      <c r="B48" s="5">
        <v>2.0</v>
      </c>
      <c r="C48" s="5" t="s">
        <v>1154</v>
      </c>
      <c r="D48" s="5" t="s">
        <v>1155</v>
      </c>
      <c r="E48" s="5" t="s">
        <v>444</v>
      </c>
    </row>
    <row r="49" ht="30.0" customHeight="1">
      <c r="A49" s="5" t="s">
        <v>807</v>
      </c>
      <c r="B49" s="5">
        <v>3.0</v>
      </c>
      <c r="C49" s="5" t="s">
        <v>1156</v>
      </c>
      <c r="D49" s="5" t="s">
        <v>1157</v>
      </c>
      <c r="E49" s="5" t="s">
        <v>1158</v>
      </c>
    </row>
    <row r="50" ht="30.0" customHeight="1">
      <c r="A50" s="5" t="s">
        <v>807</v>
      </c>
      <c r="B50" s="5">
        <v>4.0</v>
      </c>
      <c r="C50" s="5" t="s">
        <v>1159</v>
      </c>
      <c r="D50" s="5" t="s">
        <v>1160</v>
      </c>
      <c r="E50" s="5" t="s">
        <v>1161</v>
      </c>
    </row>
    <row r="51" ht="30.0" customHeight="1">
      <c r="A51" s="5" t="s">
        <v>807</v>
      </c>
      <c r="B51" s="5">
        <v>5.0</v>
      </c>
      <c r="C51" s="5" t="s">
        <v>1162</v>
      </c>
      <c r="D51" s="5" t="s">
        <v>1163</v>
      </c>
      <c r="E51" s="5" t="s">
        <v>1164</v>
      </c>
    </row>
    <row r="52" ht="30.0" customHeight="1">
      <c r="A52" s="5" t="s">
        <v>807</v>
      </c>
      <c r="B52" s="5">
        <v>6.0</v>
      </c>
      <c r="C52" s="5" t="s">
        <v>1165</v>
      </c>
      <c r="D52" s="5" t="s">
        <v>1166</v>
      </c>
      <c r="E52" s="5" t="s">
        <v>444</v>
      </c>
    </row>
    <row r="53" ht="30.0" customHeight="1">
      <c r="A53" s="5" t="s">
        <v>725</v>
      </c>
      <c r="B53" s="5">
        <v>1.0</v>
      </c>
      <c r="C53" s="5" t="s">
        <v>1167</v>
      </c>
      <c r="D53" s="5" t="s">
        <v>444</v>
      </c>
      <c r="E53" s="5" t="s">
        <v>444</v>
      </c>
    </row>
    <row r="54" ht="30.0" customHeight="1">
      <c r="A54" s="5" t="s">
        <v>725</v>
      </c>
      <c r="B54" s="5">
        <v>2.0</v>
      </c>
      <c r="C54" s="5" t="s">
        <v>1168</v>
      </c>
      <c r="D54" s="5" t="s">
        <v>1169</v>
      </c>
      <c r="E54" s="5" t="s">
        <v>444</v>
      </c>
    </row>
    <row r="55" ht="30.0" customHeight="1">
      <c r="A55" s="5" t="s">
        <v>725</v>
      </c>
      <c r="B55" s="5">
        <v>3.0</v>
      </c>
      <c r="C55" s="5" t="s">
        <v>1170</v>
      </c>
      <c r="D55" s="5" t="s">
        <v>1171</v>
      </c>
      <c r="E55" s="5" t="s">
        <v>1172</v>
      </c>
    </row>
    <row r="56" ht="30.0" customHeight="1">
      <c r="A56" s="5" t="s">
        <v>725</v>
      </c>
      <c r="B56" s="5">
        <v>4.0</v>
      </c>
      <c r="C56" s="5" t="s">
        <v>1173</v>
      </c>
      <c r="D56" s="5" t="s">
        <v>1174</v>
      </c>
      <c r="E56" s="5" t="s">
        <v>1175</v>
      </c>
    </row>
    <row r="57" ht="30.0" customHeight="1">
      <c r="A57" s="5" t="s">
        <v>725</v>
      </c>
      <c r="B57" s="5">
        <v>5.0</v>
      </c>
      <c r="C57" s="5" t="s">
        <v>1176</v>
      </c>
      <c r="D57" s="5" t="s">
        <v>1177</v>
      </c>
      <c r="E57" s="5" t="s">
        <v>444</v>
      </c>
    </row>
    <row r="58" ht="30.0" customHeight="1">
      <c r="A58" s="5" t="s">
        <v>725</v>
      </c>
      <c r="B58" s="5">
        <v>6.0</v>
      </c>
      <c r="C58" s="5" t="s">
        <v>1178</v>
      </c>
      <c r="D58" s="5" t="s">
        <v>1179</v>
      </c>
      <c r="E58" s="5" t="s">
        <v>1180</v>
      </c>
    </row>
    <row r="59" ht="30.0" customHeight="1">
      <c r="A59" s="5" t="s">
        <v>736</v>
      </c>
      <c r="B59" s="5">
        <v>1.0</v>
      </c>
      <c r="C59" s="5" t="s">
        <v>1181</v>
      </c>
      <c r="D59" s="5" t="s">
        <v>1182</v>
      </c>
      <c r="E59" s="5" t="s">
        <v>444</v>
      </c>
    </row>
    <row r="60" ht="30.0" customHeight="1">
      <c r="A60" s="5" t="s">
        <v>736</v>
      </c>
      <c r="B60" s="5">
        <v>2.0</v>
      </c>
      <c r="C60" s="5" t="s">
        <v>1183</v>
      </c>
      <c r="D60" s="5" t="s">
        <v>1184</v>
      </c>
      <c r="E60" s="5" t="s">
        <v>444</v>
      </c>
    </row>
    <row r="61" ht="30.0" customHeight="1">
      <c r="A61" s="5" t="s">
        <v>736</v>
      </c>
      <c r="B61" s="5">
        <v>3.0</v>
      </c>
      <c r="C61" s="5" t="s">
        <v>1185</v>
      </c>
      <c r="D61" s="5" t="s">
        <v>1186</v>
      </c>
      <c r="E61" s="5" t="s">
        <v>1187</v>
      </c>
    </row>
    <row r="62" ht="30.0" customHeight="1">
      <c r="A62" s="5" t="s">
        <v>736</v>
      </c>
      <c r="B62" s="5">
        <v>4.0</v>
      </c>
      <c r="C62" s="5" t="s">
        <v>1188</v>
      </c>
      <c r="D62" s="5" t="s">
        <v>1189</v>
      </c>
      <c r="E62" s="5" t="s">
        <v>1190</v>
      </c>
    </row>
    <row r="63" ht="30.0" customHeight="1">
      <c r="A63" s="5" t="s">
        <v>736</v>
      </c>
      <c r="B63" s="5">
        <v>5.0</v>
      </c>
      <c r="C63" s="5" t="s">
        <v>1191</v>
      </c>
      <c r="D63" s="5" t="s">
        <v>1192</v>
      </c>
      <c r="E63" s="5" t="s">
        <v>444</v>
      </c>
    </row>
    <row r="64" ht="30.0" customHeight="1">
      <c r="A64" s="5" t="s">
        <v>736</v>
      </c>
      <c r="B64" s="5">
        <v>6.0</v>
      </c>
      <c r="C64" s="5" t="s">
        <v>1193</v>
      </c>
      <c r="D64" s="5" t="s">
        <v>1194</v>
      </c>
      <c r="E64" s="5" t="s">
        <v>444</v>
      </c>
    </row>
    <row r="65" ht="30.0" customHeight="1">
      <c r="A65" s="5" t="s">
        <v>859</v>
      </c>
      <c r="B65" s="5">
        <v>1.0</v>
      </c>
      <c r="C65" s="5" t="s">
        <v>1195</v>
      </c>
      <c r="D65" s="5" t="s">
        <v>1196</v>
      </c>
      <c r="E65" s="5" t="s">
        <v>444</v>
      </c>
    </row>
    <row r="66" ht="30.0" customHeight="1">
      <c r="A66" s="5" t="s">
        <v>859</v>
      </c>
      <c r="B66" s="5">
        <v>2.0</v>
      </c>
      <c r="C66" s="5" t="s">
        <v>1197</v>
      </c>
      <c r="D66" s="5" t="s">
        <v>1198</v>
      </c>
      <c r="E66" s="5" t="s">
        <v>444</v>
      </c>
    </row>
    <row r="67" ht="30.0" customHeight="1">
      <c r="A67" s="5" t="s">
        <v>859</v>
      </c>
      <c r="B67" s="5">
        <v>3.0</v>
      </c>
      <c r="C67" s="5" t="s">
        <v>1199</v>
      </c>
      <c r="D67" s="5" t="s">
        <v>1200</v>
      </c>
      <c r="E67" s="5" t="s">
        <v>1201</v>
      </c>
    </row>
    <row r="68" ht="30.0" customHeight="1">
      <c r="A68" s="5" t="s">
        <v>859</v>
      </c>
      <c r="B68" s="5">
        <v>4.0</v>
      </c>
      <c r="C68" s="5" t="s">
        <v>1202</v>
      </c>
      <c r="D68" s="5" t="s">
        <v>1203</v>
      </c>
      <c r="E68" s="5" t="s">
        <v>444</v>
      </c>
    </row>
    <row r="69" ht="30.0" customHeight="1">
      <c r="A69" s="5" t="s">
        <v>859</v>
      </c>
      <c r="B69" s="5">
        <v>5.0</v>
      </c>
      <c r="C69" s="5" t="s">
        <v>1204</v>
      </c>
      <c r="D69" s="5" t="s">
        <v>1205</v>
      </c>
      <c r="E69" s="5" t="s">
        <v>444</v>
      </c>
    </row>
    <row r="70" ht="30.0" customHeight="1">
      <c r="A70" s="5" t="s">
        <v>859</v>
      </c>
      <c r="B70" s="5">
        <v>6.0</v>
      </c>
      <c r="C70" s="5" t="s">
        <v>1206</v>
      </c>
      <c r="D70" s="5" t="s">
        <v>1122</v>
      </c>
      <c r="E70" s="5" t="s">
        <v>444</v>
      </c>
    </row>
    <row r="71" ht="30.0" customHeight="1">
      <c r="A71" s="5" t="s">
        <v>701</v>
      </c>
      <c r="B71" s="5">
        <v>1.0</v>
      </c>
      <c r="C71" s="5" t="s">
        <v>1207</v>
      </c>
      <c r="D71" s="5" t="s">
        <v>1208</v>
      </c>
      <c r="E71" s="5" t="s">
        <v>1209</v>
      </c>
    </row>
    <row r="72" ht="30.0" customHeight="1">
      <c r="A72" s="5" t="s">
        <v>701</v>
      </c>
      <c r="B72" s="5">
        <v>2.0</v>
      </c>
      <c r="C72" s="5" t="s">
        <v>1210</v>
      </c>
      <c r="D72" s="5" t="s">
        <v>1211</v>
      </c>
      <c r="E72" s="5" t="s">
        <v>1212</v>
      </c>
    </row>
    <row r="73" ht="30.0" customHeight="1">
      <c r="A73" s="5" t="s">
        <v>701</v>
      </c>
      <c r="B73" s="5">
        <v>3.0</v>
      </c>
      <c r="C73" s="5" t="s">
        <v>1213</v>
      </c>
      <c r="D73" s="5" t="s">
        <v>1214</v>
      </c>
      <c r="E73" s="5" t="s">
        <v>1215</v>
      </c>
    </row>
    <row r="74" ht="30.0" customHeight="1">
      <c r="A74" s="5" t="s">
        <v>701</v>
      </c>
      <c r="B74" s="5">
        <v>4.0</v>
      </c>
      <c r="C74" s="5" t="s">
        <v>1216</v>
      </c>
      <c r="D74" s="5" t="s">
        <v>1217</v>
      </c>
      <c r="E74" s="5" t="s">
        <v>444</v>
      </c>
    </row>
    <row r="75" ht="30.0" customHeight="1">
      <c r="A75" s="5" t="s">
        <v>701</v>
      </c>
      <c r="B75" s="5">
        <v>5.0</v>
      </c>
      <c r="C75" s="5" t="s">
        <v>1218</v>
      </c>
      <c r="D75" s="5" t="s">
        <v>1219</v>
      </c>
      <c r="E75" s="5" t="s">
        <v>444</v>
      </c>
    </row>
    <row r="76" ht="30.0" customHeight="1">
      <c r="A76" s="5" t="s">
        <v>701</v>
      </c>
      <c r="B76" s="5">
        <v>6.0</v>
      </c>
      <c r="C76" s="5" t="s">
        <v>1220</v>
      </c>
      <c r="D76" s="5" t="s">
        <v>1221</v>
      </c>
      <c r="E76" s="5" t="s">
        <v>444</v>
      </c>
    </row>
    <row r="77" ht="30.0" customHeight="1">
      <c r="A77" s="17" t="s">
        <v>870</v>
      </c>
      <c r="B77" s="17">
        <v>1.0</v>
      </c>
      <c r="C77" s="17" t="s">
        <v>1222</v>
      </c>
      <c r="D77" s="17" t="s">
        <v>1223</v>
      </c>
      <c r="E77" s="17" t="s">
        <v>1224</v>
      </c>
    </row>
    <row r="78" ht="30.0" customHeight="1">
      <c r="A78" s="17" t="s">
        <v>870</v>
      </c>
      <c r="B78" s="17">
        <v>2.0</v>
      </c>
      <c r="C78" s="17" t="s">
        <v>1225</v>
      </c>
      <c r="D78" s="17" t="s">
        <v>1226</v>
      </c>
      <c r="E78" s="17" t="s">
        <v>1227</v>
      </c>
    </row>
    <row r="79" ht="30.0" customHeight="1">
      <c r="A79" s="17" t="s">
        <v>870</v>
      </c>
      <c r="B79" s="17">
        <v>3.0</v>
      </c>
      <c r="C79" s="17" t="s">
        <v>1228</v>
      </c>
      <c r="D79" s="17" t="s">
        <v>1229</v>
      </c>
      <c r="E79" s="17" t="s">
        <v>1230</v>
      </c>
    </row>
    <row r="80" ht="30.0" customHeight="1">
      <c r="A80" s="17" t="s">
        <v>870</v>
      </c>
      <c r="B80" s="17">
        <v>4.0</v>
      </c>
      <c r="C80" s="17" t="s">
        <v>1231</v>
      </c>
      <c r="D80" s="17" t="s">
        <v>1232</v>
      </c>
      <c r="E80" s="17" t="s">
        <v>1233</v>
      </c>
    </row>
    <row r="81" ht="30.0" customHeight="1">
      <c r="A81" s="17" t="s">
        <v>870</v>
      </c>
      <c r="B81" s="17">
        <v>5.0</v>
      </c>
      <c r="C81" s="17" t="s">
        <v>1234</v>
      </c>
      <c r="D81" s="17" t="s">
        <v>1235</v>
      </c>
      <c r="E81" s="17" t="s">
        <v>1236</v>
      </c>
    </row>
    <row r="82" ht="30.0" customHeight="1">
      <c r="A82" s="17" t="s">
        <v>870</v>
      </c>
      <c r="B82" s="17">
        <v>6.0</v>
      </c>
      <c r="C82" s="17" t="s">
        <v>1237</v>
      </c>
      <c r="D82" s="17" t="s">
        <v>1238</v>
      </c>
      <c r="E82" s="17" t="s">
        <v>1239</v>
      </c>
    </row>
    <row r="83" ht="30.0" customHeight="1">
      <c r="A83" s="17" t="s">
        <v>792</v>
      </c>
      <c r="B83" s="17">
        <v>1.0</v>
      </c>
      <c r="C83" s="17" t="s">
        <v>1240</v>
      </c>
      <c r="D83" s="17" t="s">
        <v>1241</v>
      </c>
      <c r="E83" s="17" t="s">
        <v>1242</v>
      </c>
    </row>
    <row r="84" ht="30.0" customHeight="1">
      <c r="A84" s="17" t="s">
        <v>792</v>
      </c>
      <c r="B84" s="17">
        <v>2.0</v>
      </c>
      <c r="C84" s="17" t="s">
        <v>1243</v>
      </c>
      <c r="D84" s="17" t="s">
        <v>1244</v>
      </c>
      <c r="E84" s="17" t="s">
        <v>444</v>
      </c>
    </row>
    <row r="85" ht="30.0" customHeight="1">
      <c r="A85" s="17" t="s">
        <v>792</v>
      </c>
      <c r="B85" s="17">
        <v>3.0</v>
      </c>
      <c r="C85" s="17" t="s">
        <v>1245</v>
      </c>
      <c r="D85" s="17" t="s">
        <v>1246</v>
      </c>
      <c r="E85" s="17" t="s">
        <v>1247</v>
      </c>
    </row>
    <row r="86" ht="30.0" customHeight="1">
      <c r="A86" s="17" t="s">
        <v>792</v>
      </c>
      <c r="B86" s="17">
        <v>4.0</v>
      </c>
      <c r="C86" s="17" t="s">
        <v>1248</v>
      </c>
      <c r="D86" s="17" t="s">
        <v>1249</v>
      </c>
      <c r="E86" s="17" t="s">
        <v>1250</v>
      </c>
    </row>
    <row r="87" ht="30.0" customHeight="1">
      <c r="A87" s="17" t="s">
        <v>792</v>
      </c>
      <c r="B87" s="17">
        <v>5.0</v>
      </c>
      <c r="C87" s="17" t="s">
        <v>1251</v>
      </c>
      <c r="D87" s="17" t="s">
        <v>1252</v>
      </c>
      <c r="E87" s="17" t="s">
        <v>1253</v>
      </c>
    </row>
    <row r="88" ht="30.0" customHeight="1">
      <c r="A88" s="17" t="s">
        <v>792</v>
      </c>
      <c r="B88" s="17">
        <v>6.0</v>
      </c>
      <c r="C88" s="17" t="s">
        <v>1254</v>
      </c>
      <c r="D88" s="17" t="s">
        <v>1255</v>
      </c>
      <c r="E88" s="17" t="s">
        <v>1256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6.0"/>
    <col customWidth="1" min="3" max="3" width="26.0"/>
    <col customWidth="1" min="4" max="4" width="46.0"/>
    <col customWidth="1" min="5" max="5" width="22.0"/>
    <col customWidth="1" min="6" max="6" width="12.0"/>
    <col customWidth="1" min="7" max="7" width="46.0"/>
    <col customWidth="1" min="8" max="26" width="8.71"/>
  </cols>
  <sheetData>
    <row r="1" ht="42.0" customHeight="1">
      <c r="A1" s="6" t="s">
        <v>1257</v>
      </c>
      <c r="B1" s="2"/>
      <c r="C1" s="2"/>
      <c r="D1" s="2"/>
      <c r="E1" s="2"/>
      <c r="F1" s="2"/>
      <c r="G1" s="3"/>
    </row>
    <row r="2" ht="27.75" customHeight="1">
      <c r="A2" s="7" t="s">
        <v>1258</v>
      </c>
    </row>
    <row r="4">
      <c r="A4" s="4" t="s">
        <v>1259</v>
      </c>
      <c r="B4" s="4" t="s">
        <v>158</v>
      </c>
      <c r="C4" s="4" t="s">
        <v>1260</v>
      </c>
      <c r="D4" s="4" t="s">
        <v>1261</v>
      </c>
      <c r="E4" s="4" t="s">
        <v>673</v>
      </c>
      <c r="F4" s="4" t="s">
        <v>1262</v>
      </c>
      <c r="G4" s="4" t="s">
        <v>1263</v>
      </c>
    </row>
    <row r="5" ht="33.75" customHeight="1">
      <c r="A5" s="5" t="s">
        <v>1264</v>
      </c>
      <c r="B5" s="5" t="s">
        <v>1265</v>
      </c>
      <c r="C5" s="5" t="s">
        <v>174</v>
      </c>
      <c r="D5" s="5" t="s">
        <v>1266</v>
      </c>
      <c r="E5" s="5" t="s">
        <v>1267</v>
      </c>
      <c r="F5" s="5" t="s">
        <v>87</v>
      </c>
      <c r="G5" s="5" t="s">
        <v>1268</v>
      </c>
    </row>
    <row r="6" ht="33.75" customHeight="1">
      <c r="A6" s="5" t="s">
        <v>1269</v>
      </c>
      <c r="B6" s="5" t="s">
        <v>1270</v>
      </c>
      <c r="C6" s="5" t="s">
        <v>192</v>
      </c>
      <c r="D6" s="5" t="s">
        <v>1271</v>
      </c>
      <c r="E6" s="5" t="s">
        <v>1272</v>
      </c>
      <c r="F6" s="5" t="s">
        <v>87</v>
      </c>
      <c r="G6" s="5" t="s">
        <v>1273</v>
      </c>
    </row>
    <row r="7" ht="33.75" customHeight="1">
      <c r="A7" s="5" t="s">
        <v>1274</v>
      </c>
      <c r="B7" s="5" t="s">
        <v>1275</v>
      </c>
      <c r="C7" s="5" t="s">
        <v>204</v>
      </c>
      <c r="D7" s="5" t="s">
        <v>1276</v>
      </c>
      <c r="E7" s="5" t="s">
        <v>1267</v>
      </c>
      <c r="F7" s="5" t="s">
        <v>87</v>
      </c>
      <c r="G7" s="5" t="s">
        <v>1277</v>
      </c>
    </row>
    <row r="8" ht="33.75" customHeight="1">
      <c r="A8" s="5" t="s">
        <v>212</v>
      </c>
      <c r="B8" s="5" t="s">
        <v>1278</v>
      </c>
      <c r="C8" s="5" t="s">
        <v>211</v>
      </c>
      <c r="D8" s="5" t="s">
        <v>1279</v>
      </c>
      <c r="E8" s="5" t="s">
        <v>1272</v>
      </c>
      <c r="F8" s="5" t="s">
        <v>87</v>
      </c>
      <c r="G8" s="5" t="s">
        <v>1280</v>
      </c>
    </row>
    <row r="9" ht="33.75" customHeight="1">
      <c r="A9" s="5" t="s">
        <v>238</v>
      </c>
      <c r="B9" s="5" t="s">
        <v>239</v>
      </c>
      <c r="C9" s="5" t="s">
        <v>237</v>
      </c>
      <c r="D9" s="5" t="s">
        <v>1281</v>
      </c>
      <c r="E9" s="5" t="s">
        <v>691</v>
      </c>
      <c r="F9" s="5" t="s">
        <v>87</v>
      </c>
      <c r="G9" s="5" t="s">
        <v>1282</v>
      </c>
    </row>
    <row r="10" ht="33.75" customHeight="1">
      <c r="A10" s="5" t="s">
        <v>242</v>
      </c>
      <c r="B10" s="5" t="s">
        <v>1283</v>
      </c>
      <c r="C10" s="5" t="s">
        <v>241</v>
      </c>
      <c r="D10" s="5" t="s">
        <v>1284</v>
      </c>
      <c r="E10" s="5" t="s">
        <v>684</v>
      </c>
      <c r="F10" s="5" t="s">
        <v>87</v>
      </c>
      <c r="G10" s="5" t="s">
        <v>1285</v>
      </c>
    </row>
    <row r="11" ht="33.75" customHeight="1">
      <c r="A11" s="16" t="s">
        <v>245</v>
      </c>
      <c r="B11" s="16" t="s">
        <v>1286</v>
      </c>
      <c r="C11" s="16" t="s">
        <v>241</v>
      </c>
      <c r="D11" s="16" t="s">
        <v>1287</v>
      </c>
      <c r="E11" s="16" t="s">
        <v>1272</v>
      </c>
      <c r="F11" s="16" t="s">
        <v>87</v>
      </c>
      <c r="G11" s="16" t="s">
        <v>1288</v>
      </c>
    </row>
    <row r="12" ht="33.75" customHeight="1">
      <c r="A12" s="5" t="s">
        <v>1289</v>
      </c>
      <c r="B12" s="5" t="s">
        <v>1290</v>
      </c>
      <c r="C12" s="5" t="s">
        <v>241</v>
      </c>
      <c r="D12" s="5" t="s">
        <v>1291</v>
      </c>
      <c r="E12" s="5" t="s">
        <v>1272</v>
      </c>
      <c r="F12" s="5" t="s">
        <v>87</v>
      </c>
      <c r="G12" s="5" t="s">
        <v>1292</v>
      </c>
    </row>
    <row r="13" ht="33.75" customHeight="1">
      <c r="A13" s="5" t="s">
        <v>256</v>
      </c>
      <c r="B13" s="5" t="s">
        <v>257</v>
      </c>
      <c r="C13" s="5" t="s">
        <v>255</v>
      </c>
      <c r="D13" s="5" t="s">
        <v>1293</v>
      </c>
      <c r="E13" s="5" t="s">
        <v>691</v>
      </c>
      <c r="F13" s="5" t="s">
        <v>87</v>
      </c>
      <c r="G13" s="5" t="s">
        <v>1294</v>
      </c>
    </row>
    <row r="14" ht="33.75" customHeight="1">
      <c r="A14" s="16" t="s">
        <v>278</v>
      </c>
      <c r="B14" s="16" t="s">
        <v>1295</v>
      </c>
      <c r="C14" s="16" t="s">
        <v>277</v>
      </c>
      <c r="D14" s="16" t="s">
        <v>1296</v>
      </c>
      <c r="E14" s="16" t="s">
        <v>1272</v>
      </c>
      <c r="F14" s="16" t="s">
        <v>87</v>
      </c>
      <c r="G14" s="16" t="s">
        <v>1297</v>
      </c>
    </row>
    <row r="15" ht="33.75" customHeight="1">
      <c r="A15" s="5" t="s">
        <v>289</v>
      </c>
      <c r="B15" s="5" t="s">
        <v>1298</v>
      </c>
      <c r="C15" s="5" t="s">
        <v>288</v>
      </c>
      <c r="D15" s="5" t="s">
        <v>1299</v>
      </c>
      <c r="E15" s="5" t="s">
        <v>742</v>
      </c>
      <c r="F15" s="5" t="s">
        <v>87</v>
      </c>
      <c r="G15" s="5" t="s">
        <v>1300</v>
      </c>
    </row>
    <row r="16" ht="33.75" customHeight="1">
      <c r="A16" s="5" t="s">
        <v>297</v>
      </c>
      <c r="B16" s="5" t="s">
        <v>298</v>
      </c>
      <c r="C16" s="5" t="s">
        <v>296</v>
      </c>
      <c r="D16" s="5" t="s">
        <v>1301</v>
      </c>
      <c r="E16" s="5" t="s">
        <v>868</v>
      </c>
      <c r="F16" s="5" t="s">
        <v>87</v>
      </c>
      <c r="G16" s="5" t="s">
        <v>724</v>
      </c>
    </row>
    <row r="17" ht="33.75" customHeight="1">
      <c r="A17" s="5" t="s">
        <v>1302</v>
      </c>
      <c r="B17" s="5" t="s">
        <v>1303</v>
      </c>
      <c r="C17" s="5" t="s">
        <v>302</v>
      </c>
      <c r="D17" s="5" t="s">
        <v>1304</v>
      </c>
      <c r="E17" s="5" t="s">
        <v>868</v>
      </c>
      <c r="F17" s="5" t="s">
        <v>87</v>
      </c>
      <c r="G17" s="5" t="s">
        <v>1305</v>
      </c>
    </row>
    <row r="18" ht="33.75" customHeight="1">
      <c r="A18" s="5" t="s">
        <v>1306</v>
      </c>
      <c r="B18" s="5" t="s">
        <v>1307</v>
      </c>
      <c r="C18" s="5" t="s">
        <v>317</v>
      </c>
      <c r="D18" s="5" t="s">
        <v>1308</v>
      </c>
      <c r="E18" s="5" t="s">
        <v>691</v>
      </c>
      <c r="F18" s="5" t="s">
        <v>87</v>
      </c>
      <c r="G18" s="5" t="s">
        <v>1309</v>
      </c>
    </row>
    <row r="19" ht="33.75" customHeight="1">
      <c r="A19" s="16" t="s">
        <v>1310</v>
      </c>
      <c r="B19" s="16" t="s">
        <v>1311</v>
      </c>
      <c r="C19" s="16" t="s">
        <v>334</v>
      </c>
      <c r="D19" s="16" t="s">
        <v>1312</v>
      </c>
      <c r="E19" s="16" t="s">
        <v>1313</v>
      </c>
      <c r="F19" s="16" t="s">
        <v>87</v>
      </c>
      <c r="G19" s="16" t="s">
        <v>1314</v>
      </c>
    </row>
    <row r="20" ht="33.75" customHeight="1">
      <c r="A20" s="5" t="s">
        <v>1315</v>
      </c>
      <c r="B20" s="5" t="s">
        <v>1316</v>
      </c>
      <c r="C20" s="5" t="s">
        <v>375</v>
      </c>
      <c r="D20" s="5" t="s">
        <v>1317</v>
      </c>
      <c r="E20" s="5" t="s">
        <v>1272</v>
      </c>
      <c r="F20" s="5" t="s">
        <v>952</v>
      </c>
      <c r="G20" s="5" t="s">
        <v>1318</v>
      </c>
    </row>
    <row r="21" ht="33.75" customHeight="1">
      <c r="A21" s="5" t="s">
        <v>1319</v>
      </c>
      <c r="B21" s="5" t="s">
        <v>1320</v>
      </c>
      <c r="C21" s="5" t="s">
        <v>384</v>
      </c>
      <c r="D21" s="5" t="s">
        <v>1321</v>
      </c>
      <c r="E21" s="5" t="s">
        <v>868</v>
      </c>
      <c r="F21" s="5" t="s">
        <v>87</v>
      </c>
      <c r="G21" s="5" t="s">
        <v>1322</v>
      </c>
    </row>
    <row r="22" ht="33.75" customHeight="1">
      <c r="A22" s="16" t="s">
        <v>396</v>
      </c>
      <c r="B22" s="16" t="s">
        <v>1323</v>
      </c>
      <c r="C22" s="16" t="s">
        <v>1324</v>
      </c>
      <c r="D22" s="16" t="s">
        <v>1325</v>
      </c>
      <c r="E22" s="16" t="s">
        <v>1326</v>
      </c>
      <c r="F22" s="16" t="s">
        <v>95</v>
      </c>
      <c r="G22" s="16" t="s">
        <v>1327</v>
      </c>
    </row>
    <row r="23" ht="33.75" customHeight="1">
      <c r="A23" s="5" t="s">
        <v>400</v>
      </c>
      <c r="B23" s="5" t="s">
        <v>401</v>
      </c>
      <c r="C23" s="5" t="s">
        <v>399</v>
      </c>
      <c r="D23" s="5" t="s">
        <v>1328</v>
      </c>
      <c r="E23" s="5" t="s">
        <v>868</v>
      </c>
      <c r="F23" s="5" t="s">
        <v>87</v>
      </c>
      <c r="G23" s="5" t="s">
        <v>724</v>
      </c>
    </row>
    <row r="24" ht="33.75" customHeight="1">
      <c r="A24" s="16" t="s">
        <v>406</v>
      </c>
      <c r="B24" s="16" t="s">
        <v>1329</v>
      </c>
      <c r="C24" s="16" t="s">
        <v>1330</v>
      </c>
      <c r="D24" s="16" t="s">
        <v>1331</v>
      </c>
      <c r="E24" s="16" t="s">
        <v>1332</v>
      </c>
      <c r="F24" s="16" t="s">
        <v>91</v>
      </c>
      <c r="G24" s="16" t="s">
        <v>1333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0.0"/>
    <col customWidth="1" min="4" max="4" width="42.0"/>
    <col customWidth="1" min="5" max="5" width="50.0"/>
    <col customWidth="1" min="6" max="7" width="24.0"/>
    <col customWidth="1" min="8" max="26" width="8.71"/>
  </cols>
  <sheetData>
    <row r="1" ht="39.75" customHeight="1">
      <c r="A1" s="6" t="s">
        <v>1334</v>
      </c>
      <c r="B1" s="2"/>
      <c r="C1" s="2"/>
      <c r="D1" s="2"/>
      <c r="E1" s="2"/>
      <c r="F1" s="2"/>
      <c r="G1" s="3"/>
    </row>
    <row r="2" ht="27.75" customHeight="1">
      <c r="A2" s="7" t="s">
        <v>1335</v>
      </c>
    </row>
    <row r="4">
      <c r="A4" s="4" t="s">
        <v>1336</v>
      </c>
      <c r="B4" s="4" t="s">
        <v>1337</v>
      </c>
      <c r="C4" s="4" t="s">
        <v>178</v>
      </c>
      <c r="D4" s="4" t="s">
        <v>1338</v>
      </c>
      <c r="E4" s="4" t="s">
        <v>1339</v>
      </c>
      <c r="F4" s="4" t="s">
        <v>1340</v>
      </c>
      <c r="G4" s="4" t="s">
        <v>1341</v>
      </c>
    </row>
    <row r="5" ht="45.75" customHeight="1">
      <c r="A5" s="11">
        <v>1.0</v>
      </c>
      <c r="B5" s="11" t="s">
        <v>218</v>
      </c>
      <c r="C5" s="11" t="s">
        <v>1342</v>
      </c>
      <c r="D5" s="11" t="s">
        <v>1343</v>
      </c>
      <c r="E5" s="11" t="s">
        <v>1344</v>
      </c>
      <c r="F5" s="11" t="s">
        <v>1345</v>
      </c>
      <c r="G5" s="11" t="s">
        <v>1346</v>
      </c>
    </row>
    <row r="6" ht="45.75" customHeight="1">
      <c r="A6" s="11">
        <v>1.0</v>
      </c>
      <c r="B6" s="11" t="s">
        <v>224</v>
      </c>
      <c r="C6" s="11" t="s">
        <v>225</v>
      </c>
      <c r="D6" s="11" t="s">
        <v>1347</v>
      </c>
      <c r="E6" s="11" t="s">
        <v>1348</v>
      </c>
      <c r="F6" s="11" t="s">
        <v>1345</v>
      </c>
      <c r="G6" s="11" t="s">
        <v>1346</v>
      </c>
    </row>
    <row r="7" ht="45.75" customHeight="1">
      <c r="A7" s="11">
        <v>1.0</v>
      </c>
      <c r="B7" s="11" t="s">
        <v>396</v>
      </c>
      <c r="C7" s="11" t="s">
        <v>1349</v>
      </c>
      <c r="D7" s="11" t="s">
        <v>1350</v>
      </c>
      <c r="E7" s="11" t="s">
        <v>1351</v>
      </c>
      <c r="F7" s="11" t="s">
        <v>1352</v>
      </c>
      <c r="G7" s="11" t="s">
        <v>1353</v>
      </c>
    </row>
    <row r="8" ht="45.75" customHeight="1">
      <c r="A8" s="12">
        <v>2.0</v>
      </c>
      <c r="B8" s="12" t="s">
        <v>459</v>
      </c>
      <c r="C8" s="12" t="s">
        <v>1354</v>
      </c>
      <c r="D8" s="12" t="s">
        <v>1355</v>
      </c>
      <c r="E8" s="12" t="s">
        <v>1356</v>
      </c>
      <c r="F8" s="12" t="s">
        <v>1357</v>
      </c>
      <c r="G8" s="12" t="s">
        <v>1358</v>
      </c>
    </row>
    <row r="9" ht="45.75" customHeight="1">
      <c r="A9" s="12">
        <v>2.0</v>
      </c>
      <c r="B9" s="12" t="s">
        <v>245</v>
      </c>
      <c r="C9" s="12" t="s">
        <v>246</v>
      </c>
      <c r="D9" s="12" t="s">
        <v>1350</v>
      </c>
      <c r="E9" s="12" t="s">
        <v>1359</v>
      </c>
      <c r="F9" s="12" t="s">
        <v>1360</v>
      </c>
      <c r="G9" s="12" t="s">
        <v>1353</v>
      </c>
    </row>
    <row r="10" ht="45.75" customHeight="1">
      <c r="A10" s="12">
        <v>2.0</v>
      </c>
      <c r="B10" s="12" t="s">
        <v>278</v>
      </c>
      <c r="C10" s="12" t="s">
        <v>279</v>
      </c>
      <c r="D10" s="12" t="s">
        <v>1350</v>
      </c>
      <c r="E10" s="12" t="s">
        <v>1361</v>
      </c>
      <c r="F10" s="12" t="s">
        <v>1360</v>
      </c>
      <c r="G10" s="12" t="s">
        <v>1353</v>
      </c>
    </row>
    <row r="11" ht="45.75" customHeight="1">
      <c r="A11" s="12">
        <v>2.0</v>
      </c>
      <c r="B11" s="12" t="s">
        <v>312</v>
      </c>
      <c r="C11" s="12" t="s">
        <v>313</v>
      </c>
      <c r="D11" s="12" t="s">
        <v>1362</v>
      </c>
      <c r="E11" s="12" t="s">
        <v>1363</v>
      </c>
      <c r="F11" s="12" t="s">
        <v>1360</v>
      </c>
      <c r="G11" s="12" t="s">
        <v>1353</v>
      </c>
    </row>
    <row r="12" ht="45.75" customHeight="1">
      <c r="A12" s="12">
        <v>2.0</v>
      </c>
      <c r="B12" s="12" t="s">
        <v>406</v>
      </c>
      <c r="C12" s="12" t="s">
        <v>407</v>
      </c>
      <c r="D12" s="12" t="s">
        <v>1364</v>
      </c>
      <c r="E12" s="12" t="s">
        <v>1365</v>
      </c>
      <c r="F12" s="12" t="s">
        <v>17</v>
      </c>
      <c r="G12" s="12" t="s">
        <v>1353</v>
      </c>
    </row>
    <row r="13" ht="45.75" customHeight="1">
      <c r="A13" s="13">
        <v>3.0</v>
      </c>
      <c r="B13" s="13" t="s">
        <v>348</v>
      </c>
      <c r="C13" s="13" t="s">
        <v>1366</v>
      </c>
      <c r="D13" s="13" t="s">
        <v>1367</v>
      </c>
      <c r="E13" s="13" t="s">
        <v>1368</v>
      </c>
      <c r="F13" s="13" t="s">
        <v>1360</v>
      </c>
      <c r="G13" s="13" t="s">
        <v>1358</v>
      </c>
    </row>
    <row r="14" ht="45.75" customHeight="1">
      <c r="A14" s="13">
        <v>3.0</v>
      </c>
      <c r="B14" s="13" t="s">
        <v>1369</v>
      </c>
      <c r="C14" s="13" t="s">
        <v>273</v>
      </c>
      <c r="D14" s="13" t="s">
        <v>1370</v>
      </c>
      <c r="E14" s="13" t="s">
        <v>1371</v>
      </c>
      <c r="F14" s="13" t="s">
        <v>17</v>
      </c>
      <c r="G14" s="13" t="s">
        <v>1353</v>
      </c>
    </row>
    <row r="15" ht="45.75" customHeight="1">
      <c r="A15" s="13">
        <v>3.0</v>
      </c>
      <c r="B15" s="13" t="s">
        <v>1372</v>
      </c>
      <c r="C15" s="13" t="s">
        <v>1373</v>
      </c>
      <c r="D15" s="13" t="s">
        <v>1370</v>
      </c>
      <c r="E15" s="13" t="s">
        <v>1374</v>
      </c>
      <c r="F15" s="13" t="s">
        <v>17</v>
      </c>
      <c r="G15" s="13" t="s">
        <v>1353</v>
      </c>
    </row>
    <row r="16" ht="45.75" customHeight="1">
      <c r="A16" s="13">
        <v>3.0</v>
      </c>
      <c r="B16" s="13" t="s">
        <v>271</v>
      </c>
      <c r="C16" s="13" t="s">
        <v>1375</v>
      </c>
      <c r="D16" s="13" t="s">
        <v>1376</v>
      </c>
      <c r="E16" s="13" t="s">
        <v>1377</v>
      </c>
      <c r="F16" s="13" t="s">
        <v>17</v>
      </c>
      <c r="G16" s="13" t="s">
        <v>1378</v>
      </c>
    </row>
    <row r="17" ht="45.75" customHeight="1">
      <c r="A17" s="13">
        <v>3.0</v>
      </c>
      <c r="B17" s="13" t="s">
        <v>265</v>
      </c>
      <c r="C17" s="13" t="s">
        <v>1379</v>
      </c>
      <c r="D17" s="13" t="s">
        <v>1380</v>
      </c>
      <c r="E17" s="13" t="s">
        <v>1381</v>
      </c>
      <c r="F17" s="13" t="s">
        <v>17</v>
      </c>
      <c r="G17" s="13" t="s">
        <v>1378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