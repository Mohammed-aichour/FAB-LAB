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 Equipements" sheetId="1" state="visible" r:id="rId3"/>
    <sheet name="Synthese par categor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<sst xmlns="http://schemas.openxmlformats.org/spreadsheetml/2006/main" count="227" uniqueCount="135">
  <si>
    <t xml:space="preserve">REGISTRE DES EQUIPEMENTS - FABLAB UNIVERSIAPOLIS POLYTECHNIQUE</t>
  </si>
  <si>
    <t xml:space="preserve">Etape 2 du plan projet GMAO - Source: INVENTAIRE_PHYSIQUE_UNIVERSIAPOLIS.xlsx (Localisation: FAB LAB, Niveau: LES DOMES) - Date d'application : Juillet 2026</t>
  </si>
  <si>
    <t xml:space="preserve">N°</t>
  </si>
  <si>
    <t xml:space="preserve">Code equipement</t>
  </si>
  <si>
    <t xml:space="preserve">Designation</t>
  </si>
  <si>
    <t xml:space="preserve">Description / Caracteristiques</t>
  </si>
  <si>
    <t xml:space="preserve">Categorie</t>
  </si>
  <si>
    <t xml:space="preserve">Quantite</t>
  </si>
  <si>
    <t xml:space="preserve">Etat</t>
  </si>
  <si>
    <t xml:space="preserve">FL-001</t>
  </si>
  <si>
    <t xml:space="preserve">BUREAU</t>
  </si>
  <si>
    <t xml:space="preserve">160*80 EN MDF</t>
  </si>
  <si>
    <t xml:space="preserve">Mobilier</t>
  </si>
  <si>
    <t xml:space="preserve">BON</t>
  </si>
  <si>
    <t xml:space="preserve">FL-002</t>
  </si>
  <si>
    <t xml:space="preserve">TABLE DE REUNION</t>
  </si>
  <si>
    <t xml:space="preserve">220*100 STRATY DECOR</t>
  </si>
  <si>
    <t xml:space="preserve">FL-003</t>
  </si>
  <si>
    <t xml:space="preserve">140*140 cm EN MDF</t>
  </si>
  <si>
    <t xml:space="preserve">FL-004</t>
  </si>
  <si>
    <t xml:space="preserve">TABLE DE TRAVAIL</t>
  </si>
  <si>
    <t xml:space="preserve">180*80 MDF ET METAL</t>
  </si>
  <si>
    <t xml:space="preserve">FL-005</t>
  </si>
  <si>
    <t xml:space="preserve">TIRIOIR</t>
  </si>
  <si>
    <t xml:space="preserve">80*50 EN MDF 1 PORTES</t>
  </si>
  <si>
    <t xml:space="preserve">Mobilier - Rangement</t>
  </si>
  <si>
    <t xml:space="preserve">FL-006</t>
  </si>
  <si>
    <t xml:space="preserve">FL-007</t>
  </si>
  <si>
    <t xml:space="preserve">150*100 EN MDF 2 PORTES</t>
  </si>
  <si>
    <t xml:space="preserve">FL-008</t>
  </si>
  <si>
    <t xml:space="preserve">POUF</t>
  </si>
  <si>
    <t xml:space="preserve">POUR ROND 50*50 BOIS ET SIMILI CUIR</t>
  </si>
  <si>
    <t xml:space="preserve">FL-009</t>
  </si>
  <si>
    <t xml:space="preserve">CLIMATISSEUR</t>
  </si>
  <si>
    <t xml:space="preserve">ARMAOIRE 60000BTU</t>
  </si>
  <si>
    <t xml:space="preserve">Equipement CVC</t>
  </si>
  <si>
    <t xml:space="preserve">FL-010</t>
  </si>
  <si>
    <t xml:space="preserve">TELEVISION NOIRE</t>
  </si>
  <si>
    <t xml:space="preserve">PLASMA 43"</t>
  </si>
  <si>
    <t xml:space="preserve">Equipement audiovisuel</t>
  </si>
  <si>
    <t xml:space="preserve">FL-011</t>
  </si>
  <si>
    <t xml:space="preserve">RECEPTEUR</t>
  </si>
  <si>
    <t xml:space="preserve">BOITIER ANDROID</t>
  </si>
  <si>
    <t xml:space="preserve">FL-012</t>
  </si>
  <si>
    <t xml:space="preserve">TABLEAU D'AFFICHAGE</t>
  </si>
  <si>
    <t xml:space="preserve">100*70 BLANC</t>
  </si>
  <si>
    <t xml:space="preserve">FL-013</t>
  </si>
  <si>
    <t xml:space="preserve">SUPPORT TV</t>
  </si>
  <si>
    <t xml:space="preserve">EN METALE</t>
  </si>
  <si>
    <t xml:space="preserve">FL-014</t>
  </si>
  <si>
    <t xml:space="preserve">CHAISE</t>
  </si>
  <si>
    <t xml:space="preserve">GAIMING TISSU GRIS AVEC ROULTTES ET ACOUDOIR</t>
  </si>
  <si>
    <t xml:space="preserve">FL-015</t>
  </si>
  <si>
    <t xml:space="preserve">ARMOIRE ELECTRIQUE</t>
  </si>
  <si>
    <t xml:space="preserve">COFFRET METALLIQUE</t>
  </si>
  <si>
    <t xml:space="preserve">Equipement electrique</t>
  </si>
  <si>
    <t xml:space="preserve">FL-016</t>
  </si>
  <si>
    <t xml:space="preserve">IMPRESSION 3D</t>
  </si>
  <si>
    <t xml:space="preserve">SCHENZHEN CREALITY 3D TECHNOLOGY</t>
  </si>
  <si>
    <t xml:space="preserve">Machine Fablab - Impression 3D</t>
  </si>
  <si>
    <t xml:space="preserve">FL-017</t>
  </si>
  <si>
    <t xml:space="preserve">FL-018</t>
  </si>
  <si>
    <t xml:space="preserve">DECOUPE LASER</t>
  </si>
  <si>
    <t xml:space="preserve">PIPROD.COM</t>
  </si>
  <si>
    <t xml:space="preserve">Machine Fablab - Decoupe laser</t>
  </si>
  <si>
    <t xml:space="preserve">FL-019</t>
  </si>
  <si>
    <t xml:space="preserve">DECOUPE CNC</t>
  </si>
  <si>
    <t xml:space="preserve">Machine Fablab - Decoupe/Usinage CNC</t>
  </si>
  <si>
    <t xml:space="preserve">FL-020</t>
  </si>
  <si>
    <t xml:space="preserve">TECHNO DRILL 3</t>
  </si>
  <si>
    <t xml:space="preserve">FL-021</t>
  </si>
  <si>
    <t xml:space="preserve">COMPRESSEUR</t>
  </si>
  <si>
    <t xml:space="preserve">DE 8 BAR</t>
  </si>
  <si>
    <t xml:space="preserve">Equipement atelier</t>
  </si>
  <si>
    <t xml:space="preserve">FL-022</t>
  </si>
  <si>
    <t xml:space="preserve">ASPIRATEUR</t>
  </si>
  <si>
    <t xml:space="preserve">DE POUSSIERE</t>
  </si>
  <si>
    <t xml:space="preserve">FL-023</t>
  </si>
  <si>
    <t xml:space="preserve">PILVERISATEUR</t>
  </si>
  <si>
    <t xml:space="preserve">ELECTIQUE</t>
  </si>
  <si>
    <t xml:space="preserve">FL-024</t>
  </si>
  <si>
    <t xml:space="preserve">MACHINE WC 3000</t>
  </si>
  <si>
    <t xml:space="preserve">AVEC DECOUPE LASER</t>
  </si>
  <si>
    <t xml:space="preserve">FL-025</t>
  </si>
  <si>
    <t xml:space="preserve">PERSEUSE</t>
  </si>
  <si>
    <t xml:space="preserve">Outillage atelier</t>
  </si>
  <si>
    <t xml:space="preserve">FL-026</t>
  </si>
  <si>
    <t xml:space="preserve">PLIEUSE</t>
  </si>
  <si>
    <t xml:space="preserve">DE PERSEGLACE</t>
  </si>
  <si>
    <t xml:space="preserve">Machine Fablab - Faconnage</t>
  </si>
  <si>
    <t xml:space="preserve">FL-027</t>
  </si>
  <si>
    <t xml:space="preserve">SCOPE</t>
  </si>
  <si>
    <t xml:space="preserve">NUMERIQUE</t>
  </si>
  <si>
    <t xml:space="preserve">Instrument de mesure</t>
  </si>
  <si>
    <t xml:space="preserve">FL-028</t>
  </si>
  <si>
    <t xml:space="preserve">ANALOGIQUE</t>
  </si>
  <si>
    <t xml:space="preserve">FL-029</t>
  </si>
  <si>
    <t xml:space="preserve">FL-030</t>
  </si>
  <si>
    <t xml:space="preserve">BALANCE</t>
  </si>
  <si>
    <t xml:space="preserve">AVEC AFFICHAGE</t>
  </si>
  <si>
    <t xml:space="preserve">FL-031</t>
  </si>
  <si>
    <t xml:space="preserve">FL-032</t>
  </si>
  <si>
    <t xml:space="preserve">ADJUSTABLE DC</t>
  </si>
  <si>
    <t xml:space="preserve">POWER SUPPLY</t>
  </si>
  <si>
    <t xml:space="preserve">Instrument electronique</t>
  </si>
  <si>
    <t xml:space="preserve">FL-033</t>
  </si>
  <si>
    <t xml:space="preserve">RECHEAU</t>
  </si>
  <si>
    <t xml:space="preserve">REWORK SOLDERING</t>
  </si>
  <si>
    <t xml:space="preserve">Equipement electronique</t>
  </si>
  <si>
    <t xml:space="preserve">FL-034</t>
  </si>
  <si>
    <t xml:space="preserve">POMLE A EAU</t>
  </si>
  <si>
    <t xml:space="preserve">KNF</t>
  </si>
  <si>
    <t xml:space="preserve">FL-035</t>
  </si>
  <si>
    <t xml:space="preserve">PHOTOCENTRIC 3D</t>
  </si>
  <si>
    <t xml:space="preserve">EN 3D</t>
  </si>
  <si>
    <t xml:space="preserve">FL-036</t>
  </si>
  <si>
    <t xml:space="preserve">APPAREIL PHOTO 3D</t>
  </si>
  <si>
    <t xml:space="preserve">EN SCAN</t>
  </si>
  <si>
    <t xml:space="preserve">Equipement scan 3D</t>
  </si>
  <si>
    <t xml:space="preserve">FL-037</t>
  </si>
  <si>
    <t xml:space="preserve">INTERTEK</t>
  </si>
  <si>
    <t xml:space="preserve">A identifier</t>
  </si>
  <si>
    <t xml:space="preserve">FL-038</t>
  </si>
  <si>
    <t xml:space="preserve">FL-039</t>
  </si>
  <si>
    <t xml:space="preserve">MACHINE AIR CHAUD</t>
  </si>
  <si>
    <t xml:space="preserve">FL-040</t>
  </si>
  <si>
    <t xml:space="preserve">DISTRIBUTEUR MANUEL</t>
  </si>
  <si>
    <t xml:space="preserve">DE GEL DESINFECTANT</t>
  </si>
  <si>
    <t xml:space="preserve">Hygiene / Consommable</t>
  </si>
  <si>
    <t xml:space="preserve">TOTAL GENERAL - NOMBRE D'EQUIPEMENTS ET QUANTITE</t>
  </si>
  <si>
    <t xml:space="preserve">Note : la colonne 'Categorie' distingue le mobilier general de l'equipement technique specifique au Fablab (machines de fabrication numerique, instruments de mesure et d'electronique).</t>
  </si>
  <si>
    <t xml:space="preserve">SYNTHESE DES EQUIPEMENTS FABLAB PAR CATEGORIE</t>
  </si>
  <si>
    <t xml:space="preserve">Nombre de lignes d'inventaire</t>
  </si>
  <si>
    <t xml:space="preserve">Quantite totale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</si>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</sst>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D9D9D9"/>
      </patternFill>
    </fill>
    <fill>
      <patternFill patternType="solid">
        <fgColor rgb="FFD9D9D9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5" t="s">
        <v>10</v>
      </c>
      <c r="D5" s="5" t="s">
        <v>11</v>
      </c>
      <c r="E5" s="5" t="s">
        <v>12</v>
      </c>
      <c r="F5" s="4" t="n">
        <v>2</v>
      </c>
      <c r="G5" s="4" t="s">
        <v>13</v>
      </c>
    </row>
    <row r="6" customFormat="false" ht="15" hidden="false" customHeight="false" outlineLevel="0" collapsed="false">
      <c r="A6" s="6" t="n">
        <v>2</v>
      </c>
      <c r="B6" s="6" t="s">
        <v>14</v>
      </c>
      <c r="C6" s="7" t="s">
        <v>15</v>
      </c>
      <c r="D6" s="7" t="s">
        <v>16</v>
      </c>
      <c r="E6" s="7" t="s">
        <v>12</v>
      </c>
      <c r="F6" s="6" t="n">
        <v>1</v>
      </c>
      <c r="G6" s="6" t="s">
        <v>13</v>
      </c>
    </row>
    <row r="7" customFormat="false" ht="15" hidden="false" customHeight="false" outlineLevel="0" collapsed="false">
      <c r="A7" s="4" t="n">
        <v>3</v>
      </c>
      <c r="B7" s="4" t="s">
        <v>17</v>
      </c>
      <c r="C7" s="5" t="s">
        <v>15</v>
      </c>
      <c r="D7" s="5" t="s">
        <v>18</v>
      </c>
      <c r="E7" s="5" t="s">
        <v>12</v>
      </c>
      <c r="F7" s="4" t="n">
        <v>4</v>
      </c>
      <c r="G7" s="4" t="s">
        <v>13</v>
      </c>
    </row>
    <row r="8" customFormat="false" ht="15" hidden="false" customHeight="false" outlineLevel="0" collapsed="false">
      <c r="A8" s="6" t="n">
        <v>4</v>
      </c>
      <c r="B8" s="6" t="s">
        <v>19</v>
      </c>
      <c r="C8" s="7" t="s">
        <v>20</v>
      </c>
      <c r="D8" s="7" t="s">
        <v>21</v>
      </c>
      <c r="E8" s="7" t="s">
        <v>12</v>
      </c>
      <c r="F8" s="6" t="n">
        <v>3</v>
      </c>
      <c r="G8" s="6" t="s">
        <v>13</v>
      </c>
    </row>
    <row r="9" customFormat="false" ht="15" hidden="false" customHeight="false" outlineLevel="0" collapsed="false">
      <c r="A9" s="4" t="n">
        <v>5</v>
      </c>
      <c r="B9" s="4" t="s">
        <v>22</v>
      </c>
      <c r="C9" s="5" t="s">
        <v>23</v>
      </c>
      <c r="D9" s="5" t="s">
        <v>24</v>
      </c>
      <c r="E9" s="5" t="s">
        <v>25</v>
      </c>
      <c r="F9" s="4" t="n">
        <v>2</v>
      </c>
      <c r="G9" s="4" t="s">
        <v>13</v>
      </c>
    </row>
    <row r="10" customFormat="false" ht="15" hidden="false" customHeight="false" outlineLevel="0" collapsed="false">
      <c r="A10" s="6" t="n">
        <v>6</v>
      </c>
      <c r="B10" s="6" t="s">
        <v>26</v>
      </c>
      <c r="C10" s="7" t="s">
        <v>23</v>
      </c>
      <c r="D10" s="7" t="s">
        <v>24</v>
      </c>
      <c r="E10" s="7" t="s">
        <v>25</v>
      </c>
      <c r="F10" s="6" t="n">
        <v>1</v>
      </c>
      <c r="G10" s="6" t="s">
        <v>13</v>
      </c>
    </row>
    <row r="11" customFormat="false" ht="15" hidden="false" customHeight="false" outlineLevel="0" collapsed="false">
      <c r="A11" s="4" t="n">
        <v>7</v>
      </c>
      <c r="B11" s="4" t="s">
        <v>27</v>
      </c>
      <c r="C11" s="5" t="s">
        <v>23</v>
      </c>
      <c r="D11" s="5" t="s">
        <v>28</v>
      </c>
      <c r="E11" s="5" t="s">
        <v>25</v>
      </c>
      <c r="F11" s="4" t="n">
        <v>2</v>
      </c>
      <c r="G11" s="4" t="s">
        <v>13</v>
      </c>
    </row>
    <row r="12" customFormat="false" ht="15" hidden="false" customHeight="false" outlineLevel="0" collapsed="false">
      <c r="A12" s="6" t="n">
        <v>8</v>
      </c>
      <c r="B12" s="6" t="s">
        <v>29</v>
      </c>
      <c r="C12" s="7" t="s">
        <v>30</v>
      </c>
      <c r="D12" s="7" t="s">
        <v>31</v>
      </c>
      <c r="E12" s="7" t="s">
        <v>12</v>
      </c>
      <c r="F12" s="6" t="n">
        <v>8</v>
      </c>
      <c r="G12" s="6" t="s">
        <v>13</v>
      </c>
    </row>
    <row r="13" customFormat="false" ht="15" hidden="false" customHeight="false" outlineLevel="0" collapsed="false">
      <c r="A13" s="4" t="n">
        <v>9</v>
      </c>
      <c r="B13" s="4" t="s">
        <v>32</v>
      </c>
      <c r="C13" s="5" t="s">
        <v>33</v>
      </c>
      <c r="D13" s="5" t="s">
        <v>34</v>
      </c>
      <c r="E13" s="5" t="s">
        <v>35</v>
      </c>
      <c r="F13" s="4" t="n">
        <v>2</v>
      </c>
      <c r="G13" s="4" t="s">
        <v>13</v>
      </c>
    </row>
    <row r="14" customFormat="false" ht="15" hidden="false" customHeight="false" outlineLevel="0" collapsed="false">
      <c r="A14" s="6" t="n">
        <v>10</v>
      </c>
      <c r="B14" s="6" t="s">
        <v>36</v>
      </c>
      <c r="C14" s="7" t="s">
        <v>37</v>
      </c>
      <c r="D14" s="7" t="s">
        <v>38</v>
      </c>
      <c r="E14" s="7" t="s">
        <v>39</v>
      </c>
      <c r="F14" s="6" t="n">
        <v>1</v>
      </c>
      <c r="G14" s="6" t="s">
        <v>13</v>
      </c>
    </row>
    <row r="15" customFormat="false" ht="15" hidden="false" customHeight="false" outlineLevel="0" collapsed="false">
      <c r="A15" s="4" t="n">
        <v>11</v>
      </c>
      <c r="B15" s="4" t="s">
        <v>40</v>
      </c>
      <c r="C15" s="5" t="s">
        <v>41</v>
      </c>
      <c r="D15" s="5" t="s">
        <v>42</v>
      </c>
      <c r="E15" s="5" t="s">
        <v>39</v>
      </c>
      <c r="F15" s="4" t="n">
        <v>1</v>
      </c>
      <c r="G15" s="4" t="s">
        <v>13</v>
      </c>
    </row>
    <row r="16" customFormat="false" ht="15" hidden="false" customHeight="false" outlineLevel="0" collapsed="false">
      <c r="A16" s="6" t="n">
        <v>12</v>
      </c>
      <c r="B16" s="6" t="s">
        <v>43</v>
      </c>
      <c r="C16" s="7" t="s">
        <v>44</v>
      </c>
      <c r="D16" s="7" t="s">
        <v>45</v>
      </c>
      <c r="E16" s="7" t="s">
        <v>12</v>
      </c>
      <c r="F16" s="6" t="n">
        <v>1</v>
      </c>
      <c r="G16" s="6" t="s">
        <v>13</v>
      </c>
    </row>
    <row r="17" customFormat="false" ht="15" hidden="false" customHeight="false" outlineLevel="0" collapsed="false">
      <c r="A17" s="4" t="n">
        <v>13</v>
      </c>
      <c r="B17" s="4" t="s">
        <v>46</v>
      </c>
      <c r="C17" s="5" t="s">
        <v>47</v>
      </c>
      <c r="D17" s="5" t="s">
        <v>48</v>
      </c>
      <c r="E17" s="5" t="s">
        <v>12</v>
      </c>
      <c r="F17" s="4" t="n">
        <v>1</v>
      </c>
      <c r="G17" s="4" t="s">
        <v>13</v>
      </c>
    </row>
    <row r="18" customFormat="false" ht="23.85" hidden="false" customHeight="false" outlineLevel="0" collapsed="false">
      <c r="A18" s="6" t="n">
        <v>14</v>
      </c>
      <c r="B18" s="6" t="s">
        <v>49</v>
      </c>
      <c r="C18" s="7" t="s">
        <v>50</v>
      </c>
      <c r="D18" s="7" t="s">
        <v>51</v>
      </c>
      <c r="E18" s="7" t="s">
        <v>12</v>
      </c>
      <c r="F18" s="6" t="n">
        <v>20</v>
      </c>
      <c r="G18" s="6" t="s">
        <v>13</v>
      </c>
    </row>
    <row r="19" customFormat="false" ht="15" hidden="false" customHeight="false" outlineLevel="0" collapsed="false">
      <c r="A19" s="4" t="n">
        <v>15</v>
      </c>
      <c r="B19" s="4" t="s">
        <v>52</v>
      </c>
      <c r="C19" s="5" t="s">
        <v>53</v>
      </c>
      <c r="D19" s="5" t="s">
        <v>54</v>
      </c>
      <c r="E19" s="5" t="s">
        <v>55</v>
      </c>
      <c r="F19" s="4" t="n">
        <v>1</v>
      </c>
      <c r="G19" s="4" t="s">
        <v>13</v>
      </c>
    </row>
    <row r="20" customFormat="false" ht="15" hidden="false" customHeight="false" outlineLevel="0" collapsed="false">
      <c r="A20" s="6" t="n">
        <v>16</v>
      </c>
      <c r="B20" s="6" t="s">
        <v>56</v>
      </c>
      <c r="C20" s="7" t="s">
        <v>57</v>
      </c>
      <c r="D20" s="7" t="s">
        <v>58</v>
      </c>
      <c r="E20" s="7" t="s">
        <v>59</v>
      </c>
      <c r="F20" s="6" t="n">
        <v>2</v>
      </c>
      <c r="G20" s="6" t="s">
        <v>13</v>
      </c>
    </row>
    <row r="21" customFormat="false" ht="15" hidden="false" customHeight="false" outlineLevel="0" collapsed="false">
      <c r="A21" s="4" t="n">
        <v>17</v>
      </c>
      <c r="B21" s="4" t="s">
        <v>60</v>
      </c>
      <c r="C21" s="5" t="s">
        <v>57</v>
      </c>
      <c r="D21" s="5"/>
      <c r="E21" s="5" t="s">
        <v>59</v>
      </c>
      <c r="F21" s="4" t="n">
        <v>1</v>
      </c>
      <c r="G21" s="4" t="s">
        <v>13</v>
      </c>
    </row>
    <row r="22" customFormat="false" ht="15" hidden="false" customHeight="false" outlineLevel="0" collapsed="false">
      <c r="A22" s="6" t="n">
        <v>18</v>
      </c>
      <c r="B22" s="6" t="s">
        <v>61</v>
      </c>
      <c r="C22" s="7" t="s">
        <v>62</v>
      </c>
      <c r="D22" s="7" t="s">
        <v>63</v>
      </c>
      <c r="E22" s="7" t="s">
        <v>64</v>
      </c>
      <c r="F22" s="6" t="n">
        <v>1</v>
      </c>
      <c r="G22" s="6" t="s">
        <v>13</v>
      </c>
    </row>
    <row r="23" customFormat="false" ht="23.85" hidden="false" customHeight="false" outlineLevel="0" collapsed="false">
      <c r="A23" s="4" t="n">
        <v>19</v>
      </c>
      <c r="B23" s="4" t="s">
        <v>65</v>
      </c>
      <c r="C23" s="5" t="s">
        <v>66</v>
      </c>
      <c r="D23" s="5" t="s">
        <v>63</v>
      </c>
      <c r="E23" s="5" t="s">
        <v>67</v>
      </c>
      <c r="F23" s="4" t="n">
        <v>1</v>
      </c>
      <c r="G23" s="4" t="s">
        <v>13</v>
      </c>
    </row>
    <row r="24" customFormat="false" ht="23.85" hidden="false" customHeight="false" outlineLevel="0" collapsed="false">
      <c r="A24" s="6" t="n">
        <v>20</v>
      </c>
      <c r="B24" s="6" t="s">
        <v>68</v>
      </c>
      <c r="C24" s="7" t="s">
        <v>66</v>
      </c>
      <c r="D24" s="7" t="s">
        <v>69</v>
      </c>
      <c r="E24" s="7" t="s">
        <v>67</v>
      </c>
      <c r="F24" s="6" t="n">
        <v>1</v>
      </c>
      <c r="G24" s="6" t="s">
        <v>13</v>
      </c>
    </row>
    <row r="25" customFormat="false" ht="15" hidden="false" customHeight="false" outlineLevel="0" collapsed="false">
      <c r="A25" s="4" t="n">
        <v>21</v>
      </c>
      <c r="B25" s="4" t="s">
        <v>70</v>
      </c>
      <c r="C25" s="5" t="s">
        <v>71</v>
      </c>
      <c r="D25" s="5" t="s">
        <v>72</v>
      </c>
      <c r="E25" s="5" t="s">
        <v>73</v>
      </c>
      <c r="F25" s="4" t="n">
        <v>1</v>
      </c>
      <c r="G25" s="4" t="s">
        <v>13</v>
      </c>
    </row>
    <row r="26" customFormat="false" ht="15" hidden="false" customHeight="false" outlineLevel="0" collapsed="false">
      <c r="A26" s="6" t="n">
        <v>22</v>
      </c>
      <c r="B26" s="6" t="s">
        <v>74</v>
      </c>
      <c r="C26" s="7" t="s">
        <v>75</v>
      </c>
      <c r="D26" s="7" t="s">
        <v>76</v>
      </c>
      <c r="E26" s="7" t="s">
        <v>73</v>
      </c>
      <c r="F26" s="6" t="n">
        <v>1</v>
      </c>
      <c r="G26" s="6" t="s">
        <v>13</v>
      </c>
    </row>
    <row r="27" customFormat="false" ht="15" hidden="false" customHeight="false" outlineLevel="0" collapsed="false">
      <c r="A27" s="4" t="n">
        <v>23</v>
      </c>
      <c r="B27" s="4" t="s">
        <v>77</v>
      </c>
      <c r="C27" s="5" t="s">
        <v>78</v>
      </c>
      <c r="D27" s="5" t="s">
        <v>79</v>
      </c>
      <c r="E27" s="5" t="s">
        <v>73</v>
      </c>
      <c r="F27" s="4" t="n">
        <v>1</v>
      </c>
      <c r="G27" s="4" t="s">
        <v>13</v>
      </c>
    </row>
    <row r="28" customFormat="false" ht="15" hidden="false" customHeight="false" outlineLevel="0" collapsed="false">
      <c r="A28" s="6" t="n">
        <v>24</v>
      </c>
      <c r="B28" s="6" t="s">
        <v>80</v>
      </c>
      <c r="C28" s="7" t="s">
        <v>81</v>
      </c>
      <c r="D28" s="7" t="s">
        <v>82</v>
      </c>
      <c r="E28" s="7" t="s">
        <v>64</v>
      </c>
      <c r="F28" s="6" t="n">
        <v>1</v>
      </c>
      <c r="G28" s="6" t="s">
        <v>13</v>
      </c>
    </row>
    <row r="29" customFormat="false" ht="15" hidden="false" customHeight="false" outlineLevel="0" collapsed="false">
      <c r="A29" s="4" t="n">
        <v>25</v>
      </c>
      <c r="B29" s="4" t="s">
        <v>83</v>
      </c>
      <c r="C29" s="5" t="s">
        <v>84</v>
      </c>
      <c r="D29" s="5"/>
      <c r="E29" s="5" t="s">
        <v>85</v>
      </c>
      <c r="F29" s="4" t="n">
        <v>1</v>
      </c>
      <c r="G29" s="4" t="s">
        <v>13</v>
      </c>
    </row>
    <row r="30" customFormat="false" ht="15" hidden="false" customHeight="false" outlineLevel="0" collapsed="false">
      <c r="A30" s="6" t="n">
        <v>26</v>
      </c>
      <c r="B30" s="6" t="s">
        <v>86</v>
      </c>
      <c r="C30" s="7" t="s">
        <v>87</v>
      </c>
      <c r="D30" s="7" t="s">
        <v>88</v>
      </c>
      <c r="E30" s="7" t="s">
        <v>89</v>
      </c>
      <c r="F30" s="6" t="n">
        <v>1</v>
      </c>
      <c r="G30" s="6" t="s">
        <v>13</v>
      </c>
    </row>
    <row r="31" customFormat="false" ht="15" hidden="false" customHeight="false" outlineLevel="0" collapsed="false">
      <c r="A31" s="4" t="n">
        <v>27</v>
      </c>
      <c r="B31" s="4" t="s">
        <v>90</v>
      </c>
      <c r="C31" s="5" t="s">
        <v>91</v>
      </c>
      <c r="D31" s="5" t="s">
        <v>92</v>
      </c>
      <c r="E31" s="5" t="s">
        <v>93</v>
      </c>
      <c r="F31" s="4" t="n">
        <v>1</v>
      </c>
      <c r="G31" s="4" t="s">
        <v>13</v>
      </c>
    </row>
    <row r="32" customFormat="false" ht="15" hidden="false" customHeight="false" outlineLevel="0" collapsed="false">
      <c r="A32" s="6" t="n">
        <v>28</v>
      </c>
      <c r="B32" s="6" t="s">
        <v>94</v>
      </c>
      <c r="C32" s="7" t="s">
        <v>91</v>
      </c>
      <c r="D32" s="7" t="s">
        <v>95</v>
      </c>
      <c r="E32" s="7" t="s">
        <v>93</v>
      </c>
      <c r="F32" s="6" t="n">
        <v>2</v>
      </c>
      <c r="G32" s="6" t="s">
        <v>13</v>
      </c>
    </row>
    <row r="33" customFormat="false" ht="15" hidden="false" customHeight="false" outlineLevel="0" collapsed="false">
      <c r="A33" s="4" t="n">
        <v>29</v>
      </c>
      <c r="B33" s="4" t="s">
        <v>96</v>
      </c>
      <c r="C33" s="5" t="s">
        <v>91</v>
      </c>
      <c r="D33" s="5" t="s">
        <v>95</v>
      </c>
      <c r="E33" s="5" t="s">
        <v>93</v>
      </c>
      <c r="F33" s="4" t="n">
        <v>1</v>
      </c>
      <c r="G33" s="4" t="s">
        <v>13</v>
      </c>
    </row>
    <row r="34" customFormat="false" ht="15" hidden="false" customHeight="false" outlineLevel="0" collapsed="false">
      <c r="A34" s="6" t="n">
        <v>30</v>
      </c>
      <c r="B34" s="6" t="s">
        <v>97</v>
      </c>
      <c r="C34" s="7" t="s">
        <v>98</v>
      </c>
      <c r="D34" s="7" t="s">
        <v>99</v>
      </c>
      <c r="E34" s="7" t="s">
        <v>93</v>
      </c>
      <c r="F34" s="6" t="n">
        <v>1</v>
      </c>
      <c r="G34" s="6" t="s">
        <v>13</v>
      </c>
    </row>
    <row r="35" customFormat="false" ht="15" hidden="false" customHeight="false" outlineLevel="0" collapsed="false">
      <c r="A35" s="4" t="n">
        <v>31</v>
      </c>
      <c r="B35" s="4" t="s">
        <v>100</v>
      </c>
      <c r="C35" s="5" t="s">
        <v>98</v>
      </c>
      <c r="D35" s="5"/>
      <c r="E35" s="5" t="s">
        <v>93</v>
      </c>
      <c r="F35" s="4" t="n">
        <v>1</v>
      </c>
      <c r="G35" s="4" t="s">
        <v>13</v>
      </c>
    </row>
    <row r="36" customFormat="false" ht="15" hidden="false" customHeight="false" outlineLevel="0" collapsed="false">
      <c r="A36" s="6" t="n">
        <v>32</v>
      </c>
      <c r="B36" s="6" t="s">
        <v>101</v>
      </c>
      <c r="C36" s="7" t="s">
        <v>102</v>
      </c>
      <c r="D36" s="7" t="s">
        <v>103</v>
      </c>
      <c r="E36" s="7" t="s">
        <v>104</v>
      </c>
      <c r="F36" s="6" t="n">
        <v>1</v>
      </c>
      <c r="G36" s="6" t="s">
        <v>13</v>
      </c>
    </row>
    <row r="37" customFormat="false" ht="15" hidden="false" customHeight="false" outlineLevel="0" collapsed="false">
      <c r="A37" s="4" t="n">
        <v>33</v>
      </c>
      <c r="B37" s="4" t="s">
        <v>105</v>
      </c>
      <c r="C37" s="5" t="s">
        <v>106</v>
      </c>
      <c r="D37" s="5" t="s">
        <v>107</v>
      </c>
      <c r="E37" s="5" t="s">
        <v>108</v>
      </c>
      <c r="F37" s="4" t="n">
        <v>1</v>
      </c>
      <c r="G37" s="4" t="s">
        <v>13</v>
      </c>
    </row>
    <row r="38" customFormat="false" ht="15" hidden="false" customHeight="false" outlineLevel="0" collapsed="false">
      <c r="A38" s="6" t="n">
        <v>34</v>
      </c>
      <c r="B38" s="6" t="s">
        <v>109</v>
      </c>
      <c r="C38" s="7" t="s">
        <v>110</v>
      </c>
      <c r="D38" s="7" t="s">
        <v>111</v>
      </c>
      <c r="E38" s="7" t="s">
        <v>73</v>
      </c>
      <c r="F38" s="6" t="n">
        <v>1</v>
      </c>
      <c r="G38" s="6" t="s">
        <v>13</v>
      </c>
    </row>
    <row r="39" customFormat="false" ht="15" hidden="false" customHeight="false" outlineLevel="0" collapsed="false">
      <c r="A39" s="4" t="n">
        <v>35</v>
      </c>
      <c r="B39" s="4" t="s">
        <v>112</v>
      </c>
      <c r="C39" s="5" t="s">
        <v>113</v>
      </c>
      <c r="D39" s="5" t="s">
        <v>114</v>
      </c>
      <c r="E39" s="5" t="s">
        <v>59</v>
      </c>
      <c r="F39" s="4" t="n">
        <v>1</v>
      </c>
      <c r="G39" s="4" t="s">
        <v>13</v>
      </c>
    </row>
    <row r="40" customFormat="false" ht="15" hidden="false" customHeight="false" outlineLevel="0" collapsed="false">
      <c r="A40" s="6" t="n">
        <v>36</v>
      </c>
      <c r="B40" s="6" t="s">
        <v>115</v>
      </c>
      <c r="C40" s="7" t="s">
        <v>116</v>
      </c>
      <c r="D40" s="7" t="s">
        <v>117</v>
      </c>
      <c r="E40" s="7" t="s">
        <v>118</v>
      </c>
      <c r="F40" s="6" t="n">
        <v>1</v>
      </c>
      <c r="G40" s="6" t="s">
        <v>13</v>
      </c>
    </row>
    <row r="41" customFormat="false" ht="15" hidden="false" customHeight="false" outlineLevel="0" collapsed="false">
      <c r="A41" s="4" t="n">
        <v>37</v>
      </c>
      <c r="B41" s="4" t="s">
        <v>119</v>
      </c>
      <c r="C41" s="5" t="s">
        <v>120</v>
      </c>
      <c r="D41" s="5"/>
      <c r="E41" s="5" t="s">
        <v>121</v>
      </c>
      <c r="F41" s="4" t="n">
        <v>1</v>
      </c>
      <c r="G41" s="4" t="s">
        <v>13</v>
      </c>
    </row>
    <row r="42" customFormat="false" ht="15" hidden="false" customHeight="false" outlineLevel="0" collapsed="false">
      <c r="A42" s="6" t="n">
        <v>38</v>
      </c>
      <c r="B42" s="6" t="s">
        <v>122</v>
      </c>
      <c r="C42" s="7" t="s">
        <v>57</v>
      </c>
      <c r="D42" s="7"/>
      <c r="E42" s="7" t="s">
        <v>59</v>
      </c>
      <c r="F42" s="6" t="n">
        <v>2</v>
      </c>
      <c r="G42" s="6" t="s">
        <v>13</v>
      </c>
    </row>
    <row r="43" customFormat="false" ht="15" hidden="false" customHeight="false" outlineLevel="0" collapsed="false">
      <c r="A43" s="4" t="n">
        <v>39</v>
      </c>
      <c r="B43" s="4" t="s">
        <v>123</v>
      </c>
      <c r="C43" s="5" t="s">
        <v>124</v>
      </c>
      <c r="D43" s="5"/>
      <c r="E43" s="5" t="s">
        <v>73</v>
      </c>
      <c r="F43" s="4" t="n">
        <v>1</v>
      </c>
      <c r="G43" s="4" t="s">
        <v>13</v>
      </c>
    </row>
    <row r="44" customFormat="false" ht="15" hidden="false" customHeight="false" outlineLevel="0" collapsed="false">
      <c r="A44" s="6" t="n">
        <v>40</v>
      </c>
      <c r="B44" s="6" t="s">
        <v>125</v>
      </c>
      <c r="C44" s="7" t="s">
        <v>126</v>
      </c>
      <c r="D44" s="7" t="s">
        <v>127</v>
      </c>
      <c r="E44" s="7" t="s">
        <v>128</v>
      </c>
      <c r="F44" s="6" t="n">
        <v>1</v>
      </c>
      <c r="G44" s="6" t="s">
        <v>13</v>
      </c>
    </row>
    <row r="45" customFormat="false" ht="15" hidden="false" customHeight="false" outlineLevel="0" collapsed="false">
      <c r="A45" s="8" t="s">
        <v>129</v>
      </c>
      <c r="B45" s="8"/>
      <c r="C45" s="8"/>
      <c r="D45" s="8"/>
      <c r="E45" s="8"/>
      <c r="F45" s="9" t="n">
        <f aca="false">SUM(F5:F44)</f>
        <v>78</v>
      </c>
      <c r="G45" s="9" t="n">
        <f aca="false">COUNTA(B5:B44)</f>
        <v>40</v>
      </c>
    </row>
    <row r="47" customFormat="false" ht="15" hidden="false" customHeight="true" outlineLevel="0" collapsed="false">
      <c r="A47" s="10" t="s">
        <v>130</v>
      </c>
      <c r="B47" s="10"/>
      <c r="C47" s="10"/>
      <c r="D47" s="10"/>
      <c r="E47" s="10"/>
      <c r="F47" s="10"/>
      <c r="G47" s="10"/>
    </row>
  </sheetData>
  <mergeCells count="4">
    <mergeCell ref="A1:G1"/>
    <mergeCell ref="A2:G2"/>
    <mergeCell ref="A45:E45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25.5" hidden="false" customHeight="true" outlineLevel="0" collapsed="false">
      <c r="A1" s="1" t="s">
        <v>131</v>
      </c>
      <c r="B1" s="1"/>
      <c r="C1" s="1"/>
    </row>
    <row r="3" customFormat="false" ht="25.5" hidden="false" customHeight="true" outlineLevel="0" collapsed="false">
      <c r="A3" s="3" t="s">
        <v>6</v>
      </c>
      <c r="B3" s="3" t="s">
        <v>132</v>
      </c>
      <c r="C3" s="3" t="s">
        <v>133</v>
      </c>
    </row>
    <row r="4" customFormat="false" ht="15" hidden="false" customHeight="false" outlineLevel="0" collapsed="false">
      <c r="A4" s="11" t="s">
        <v>12</v>
      </c>
      <c r="B4" s="12" t="n">
        <f aca="false">COUNTIF('Registre Equipements'!E5:E44,A4)</f>
        <v>8</v>
      </c>
      <c r="C4" s="12" t="n">
        <f aca="false">SUMIF('Registre Equipements'!E5:E44,A4,'Registre Equipements'!F5:F44)</f>
        <v>40</v>
      </c>
    </row>
    <row r="5" customFormat="false" ht="15" hidden="false" customHeight="false" outlineLevel="0" collapsed="false">
      <c r="A5" s="13" t="s">
        <v>25</v>
      </c>
      <c r="B5" s="14" t="n">
        <f aca="false">COUNTIF('Registre Equipements'!E5:E44,A5)</f>
        <v>3</v>
      </c>
      <c r="C5" s="14" t="n">
        <f aca="false">SUMIF('Registre Equipements'!E5:E44,A5,'Registre Equipements'!F5:F44)</f>
        <v>5</v>
      </c>
    </row>
    <row r="6" customFormat="false" ht="15" hidden="false" customHeight="false" outlineLevel="0" collapsed="false">
      <c r="A6" s="11" t="s">
        <v>35</v>
      </c>
      <c r="B6" s="12" t="n">
        <f aca="false">COUNTIF('Registre Equipements'!E5:E44,A6)</f>
        <v>1</v>
      </c>
      <c r="C6" s="12" t="n">
        <f aca="false">SUMIF('Registre Equipements'!E5:E44,A6,'Registre Equipements'!F5:F44)</f>
        <v>2</v>
      </c>
    </row>
    <row r="7" customFormat="false" ht="15" hidden="false" customHeight="false" outlineLevel="0" collapsed="false">
      <c r="A7" s="13" t="s">
        <v>39</v>
      </c>
      <c r="B7" s="14" t="n">
        <f aca="false">COUNTIF('Registre Equipements'!E5:E44,A7)</f>
        <v>2</v>
      </c>
      <c r="C7" s="14" t="n">
        <f aca="false">SUMIF('Registre Equipements'!E5:E44,A7,'Registre Equipements'!F5:F44)</f>
        <v>2</v>
      </c>
    </row>
    <row r="8" customFormat="false" ht="15" hidden="false" customHeight="false" outlineLevel="0" collapsed="false">
      <c r="A8" s="11" t="s">
        <v>55</v>
      </c>
      <c r="B8" s="12" t="n">
        <f aca="false">COUNTIF('Registre Equipements'!E5:E44,A8)</f>
        <v>1</v>
      </c>
      <c r="C8" s="12" t="n">
        <f aca="false">SUMIF('Registre Equipements'!E5:E44,A8,'Registre Equipements'!F5:F44)</f>
        <v>1</v>
      </c>
    </row>
    <row r="9" customFormat="false" ht="15" hidden="false" customHeight="false" outlineLevel="0" collapsed="false">
      <c r="A9" s="13" t="s">
        <v>59</v>
      </c>
      <c r="B9" s="14" t="n">
        <f aca="false">COUNTIF('Registre Equipements'!E5:E44,A9)</f>
        <v>4</v>
      </c>
      <c r="C9" s="14" t="n">
        <f aca="false">SUMIF('Registre Equipements'!E5:E44,A9,'Registre Equipements'!F5:F44)</f>
        <v>6</v>
      </c>
    </row>
    <row r="10" customFormat="false" ht="15" hidden="false" customHeight="false" outlineLevel="0" collapsed="false">
      <c r="A10" s="11" t="s">
        <v>64</v>
      </c>
      <c r="B10" s="12" t="n">
        <f aca="false">COUNTIF('Registre Equipements'!E5:E44,A10)</f>
        <v>2</v>
      </c>
      <c r="C10" s="12" t="n">
        <f aca="false">SUMIF('Registre Equipements'!E5:E44,A10,'Registre Equipements'!F5:F44)</f>
        <v>2</v>
      </c>
    </row>
    <row r="11" customFormat="false" ht="15" hidden="false" customHeight="false" outlineLevel="0" collapsed="false">
      <c r="A11" s="13" t="s">
        <v>67</v>
      </c>
      <c r="B11" s="14" t="n">
        <f aca="false">COUNTIF('Registre Equipements'!E5:E44,A11)</f>
        <v>2</v>
      </c>
      <c r="C11" s="14" t="n">
        <f aca="false">SUMIF('Registre Equipements'!E5:E44,A11,'Registre Equipements'!F5:F44)</f>
        <v>2</v>
      </c>
    </row>
    <row r="12" customFormat="false" ht="15" hidden="false" customHeight="false" outlineLevel="0" collapsed="false">
      <c r="A12" s="11" t="s">
        <v>73</v>
      </c>
      <c r="B12" s="12" t="n">
        <f aca="false">COUNTIF('Registre Equipements'!E5:E44,A12)</f>
        <v>5</v>
      </c>
      <c r="C12" s="12" t="n">
        <f aca="false">SUMIF('Registre Equipements'!E5:E44,A12,'Registre Equipements'!F5:F44)</f>
        <v>5</v>
      </c>
    </row>
    <row r="13" customFormat="false" ht="15" hidden="false" customHeight="false" outlineLevel="0" collapsed="false">
      <c r="A13" s="13" t="s">
        <v>85</v>
      </c>
      <c r="B13" s="14" t="n">
        <f aca="false">COUNTIF('Registre Equipements'!E5:E44,A13)</f>
        <v>1</v>
      </c>
      <c r="C13" s="14" t="n">
        <f aca="false">SUMIF('Registre Equipements'!E5:E44,A13,'Registre Equipements'!F5:F44)</f>
        <v>1</v>
      </c>
    </row>
    <row r="14" customFormat="false" ht="15" hidden="false" customHeight="false" outlineLevel="0" collapsed="false">
      <c r="A14" s="11" t="s">
        <v>89</v>
      </c>
      <c r="B14" s="12" t="n">
        <f aca="false">COUNTIF('Registre Equipements'!E5:E44,A14)</f>
        <v>1</v>
      </c>
      <c r="C14" s="12" t="n">
        <f aca="false">SUMIF('Registre Equipements'!E5:E44,A14,'Registre Equipements'!F5:F44)</f>
        <v>1</v>
      </c>
    </row>
    <row r="15" customFormat="false" ht="15" hidden="false" customHeight="false" outlineLevel="0" collapsed="false">
      <c r="A15" s="13" t="s">
        <v>93</v>
      </c>
      <c r="B15" s="14" t="n">
        <f aca="false">COUNTIF('Registre Equipements'!E5:E44,A15)</f>
        <v>5</v>
      </c>
      <c r="C15" s="14" t="n">
        <f aca="false">SUMIF('Registre Equipements'!E5:E44,A15,'Registre Equipements'!F5:F44)</f>
        <v>6</v>
      </c>
    </row>
    <row r="16" customFormat="false" ht="15" hidden="false" customHeight="false" outlineLevel="0" collapsed="false">
      <c r="A16" s="11" t="s">
        <v>104</v>
      </c>
      <c r="B16" s="12" t="n">
        <f aca="false">COUNTIF('Registre Equipements'!E5:E44,A16)</f>
        <v>1</v>
      </c>
      <c r="C16" s="12" t="n">
        <f aca="false">SUMIF('Registre Equipements'!E5:E44,A16,'Registre Equipements'!F5:F44)</f>
        <v>1</v>
      </c>
    </row>
    <row r="17" customFormat="false" ht="15" hidden="false" customHeight="false" outlineLevel="0" collapsed="false">
      <c r="A17" s="13" t="s">
        <v>108</v>
      </c>
      <c r="B17" s="14" t="n">
        <f aca="false">COUNTIF('Registre Equipements'!E5:E44,A17)</f>
        <v>1</v>
      </c>
      <c r="C17" s="14" t="n">
        <f aca="false">SUMIF('Registre Equipements'!E5:E44,A17,'Registre Equipements'!F5:F44)</f>
        <v>1</v>
      </c>
    </row>
    <row r="18" customFormat="false" ht="15" hidden="false" customHeight="false" outlineLevel="0" collapsed="false">
      <c r="A18" s="11" t="s">
        <v>118</v>
      </c>
      <c r="B18" s="12" t="n">
        <f aca="false">COUNTIF('Registre Equipements'!E5:E44,A18)</f>
        <v>1</v>
      </c>
      <c r="C18" s="12" t="n">
        <f aca="false">SUMIF('Registre Equipements'!E5:E44,A18,'Registre Equipements'!F5:F44)</f>
        <v>1</v>
      </c>
    </row>
    <row r="19" customFormat="false" ht="15" hidden="false" customHeight="false" outlineLevel="0" collapsed="false">
      <c r="A19" s="13" t="s">
        <v>121</v>
      </c>
      <c r="B19" s="14" t="n">
        <f aca="false">COUNTIF('Registre Equipements'!E5:E44,A19)</f>
        <v>1</v>
      </c>
      <c r="C19" s="14" t="n">
        <f aca="false">SUMIF('Registre Equipements'!E5:E44,A19,'Registre Equipements'!F5:F44)</f>
        <v>1</v>
      </c>
    </row>
    <row r="20" customFormat="false" ht="15" hidden="false" customHeight="false" outlineLevel="0" collapsed="false">
      <c r="A20" s="11" t="s">
        <v>128</v>
      </c>
      <c r="B20" s="12" t="n">
        <f aca="false">COUNTIF('Registre Equipements'!E5:E44,A20)</f>
        <v>1</v>
      </c>
      <c r="C20" s="12" t="n">
        <f aca="false">SUMIF('Registre Equipements'!E5:E44,A20,'Registre Equipements'!F5:F44)</f>
        <v>1</v>
      </c>
    </row>
    <row r="21" customFormat="false" ht="15" hidden="false" customHeight="false" outlineLevel="0" collapsed="false">
      <c r="A21" s="15" t="s">
        <v>134</v>
      </c>
      <c r="B21" s="15" t="n">
        <f aca="false">SUM(B4:B20)</f>
        <v>40</v>
      </c>
      <c r="C21" s="15" t="n">
        <f aca="false">SUM(C4:C20)</f>
        <v>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2026-07-16T11:00:38Z</dcterms:created>
  <dc:creator>openpyxl</dc:creator>
  <dc:description/>
  <dc:language>en-US</dc:language>
  <cp:lastModifiedBy/>
  <dcterms:modified xsi:type="dcterms:W3CDTF">2026-07-16T11:00:38Z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