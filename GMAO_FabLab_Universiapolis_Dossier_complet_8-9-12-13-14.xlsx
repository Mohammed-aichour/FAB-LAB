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maire" sheetId="1" r:id="rId5"/>
    <sheet state="visible" name="Réf. équipements" sheetId="2" r:id="rId6"/>
    <sheet state="visible" name="8. Planning annuel" sheetId="3" r:id="rId7"/>
    <sheet state="visible" name="8b. Calendrier hebdo" sheetId="4" r:id="rId8"/>
    <sheet state="visible" name="9. Pièces de rechange" sheetId="5" r:id="rId9"/>
    <sheet state="visible" name="9b. Fournisseurs" sheetId="6" r:id="rId10"/>
    <sheet state="visible" name="12. Diagrammes" sheetId="7" r:id="rId11"/>
    <sheet state="visible" name="12. Workflows" sheetId="8" r:id="rId12"/>
    <sheet state="visible" name="13. Formulaires" sheetId="9" r:id="rId13"/>
    <sheet state="visible" name="14. KPI - Dashboard" sheetId="10" r:id="rId14"/>
    <sheet state="visible" name="14b. Dashboard atelier" sheetId="11" r:id="rId15"/>
  </sheets>
  <definedNames/>
  <calcPr/>
</workbook>
</file>

<file path=xl/sharedStrings.xml><?xml version="1.0" encoding="utf-8"?>
<sst xmlns="http://schemas.openxmlformats.org/spreadsheetml/2006/main" count="2054" uniqueCount="788">
  <si>
    <t>GMAO — FabLab Universiapolis</t>
  </si>
  <si>
    <t>Dossier de conception maintenance — Livrables des étapes 8, 9, 12, 13 et 14</t>
  </si>
  <si>
    <t>Étape</t>
  </si>
  <si>
    <t>Livrable</t>
  </si>
  <si>
    <t>Onglet</t>
  </si>
  <si>
    <t>8</t>
  </si>
  <si>
    <t>Calendrier de maintenance — Planning annuel des interventions</t>
  </si>
  <si>
    <t>8. Planning annuel</t>
  </si>
  <si>
    <t>9</t>
  </si>
  <si>
    <t>Pièces de rechange — Base de données</t>
  </si>
  <si>
    <t>9. Pièces de rechange</t>
  </si>
  <si>
    <t>12</t>
  </si>
  <si>
    <t>Processus de maintenance — Diagrammes de workflow (schémas)</t>
  </si>
  <si>
    <t>12. Diagrammes</t>
  </si>
  <si>
    <t>Processus de maintenance — Description détaillée par acteur</t>
  </si>
  <si>
    <t>12. Workflows</t>
  </si>
  <si>
    <t>13</t>
  </si>
  <si>
    <t>Formulaires métier — Maquettes (DI, OT, Historique)</t>
  </si>
  <si>
    <t>13. Formulaires</t>
  </si>
  <si>
    <t>14</t>
  </si>
  <si>
    <t>Indicateurs de performance — KPI + liste des tableaux de bord</t>
  </si>
  <si>
    <t>14. KPI - Dashboard</t>
  </si>
  <si>
    <t>Référentiel des équipements du FabLab (parc type)</t>
  </si>
  <si>
    <t>Support des étapes 8 et 9 — à aligner sur l'inventaire réel (étape 2)</t>
  </si>
  <si>
    <t>ID</t>
  </si>
  <si>
    <t>Équipement</t>
  </si>
  <si>
    <t>Atelier</t>
  </si>
  <si>
    <t>Fabricant / Modèle</t>
  </si>
  <si>
    <t>Criticité</t>
  </si>
  <si>
    <t>FL-IMP-01</t>
  </si>
  <si>
    <t>Imprimante 3D FDM (grand format)</t>
  </si>
  <si>
    <t>Impression 3D</t>
  </si>
  <si>
    <t>Ultimaker S5</t>
  </si>
  <si>
    <t>B</t>
  </si>
  <si>
    <t>FL-IMP-02</t>
  </si>
  <si>
    <t>Imprimantes 3D FDM (parc x4)</t>
  </si>
  <si>
    <t>Creality Ender-3</t>
  </si>
  <si>
    <t>C</t>
  </si>
  <si>
    <t>FL-IMP-03</t>
  </si>
  <si>
    <t>Imprimante 3D résine (SLA)</t>
  </si>
  <si>
    <t>Formlabs Form 3</t>
  </si>
  <si>
    <t>FL-LAS-01</t>
  </si>
  <si>
    <t>Découpe / gravure laser CO2</t>
  </si>
  <si>
    <t>Découpe</t>
  </si>
  <si>
    <t>Trotec Speedy 100</t>
  </si>
  <si>
    <t>A</t>
  </si>
  <si>
    <t>FL-VIN-01</t>
  </si>
  <si>
    <t>Découpeuse vinyle (plotter)</t>
  </si>
  <si>
    <t>Roland CAMM-1</t>
  </si>
  <si>
    <t>FL-CNC-01</t>
  </si>
  <si>
    <t>Fraiseuse CNC 3 axes (précision)</t>
  </si>
  <si>
    <t>Usinage</t>
  </si>
  <si>
    <t>Roland MDX-50</t>
  </si>
  <si>
    <t>FL-CNC-02</t>
  </si>
  <si>
    <t>CNC bois grand format</t>
  </si>
  <si>
    <t>ShopBot</t>
  </si>
  <si>
    <t>FL-ELE-01</t>
  </si>
  <si>
    <t>Station de soudure &amp; rework</t>
  </si>
  <si>
    <t>Électronique</t>
  </si>
  <si>
    <t>Weller WT / rework</t>
  </si>
  <si>
    <t>FL-ELE-02</t>
  </si>
  <si>
    <t>Banc de mesure (oscillo / alim)</t>
  </si>
  <si>
    <t>Rigol DS1000</t>
  </si>
  <si>
    <t>FL-BOI-01</t>
  </si>
  <si>
    <t>Perceuse à colonne</t>
  </si>
  <si>
    <t>Menuiserie</t>
  </si>
  <si>
    <t>—</t>
  </si>
  <si>
    <t>FL-BOI-02</t>
  </si>
  <si>
    <t>Scie à ruban / circulaire</t>
  </si>
  <si>
    <t>FL-TEX-01</t>
  </si>
  <si>
    <t>Brodeuse numérique</t>
  </si>
  <si>
    <t>Textile</t>
  </si>
  <si>
    <t>Brother PR</t>
  </si>
  <si>
    <t>FL-CMP-01</t>
  </si>
  <si>
    <t>Compresseur d'air</t>
  </si>
  <si>
    <t>Utilités</t>
  </si>
  <si>
    <t>FL-ASP-01</t>
  </si>
  <si>
    <t>Système d'aspiration / extraction</t>
  </si>
  <si>
    <t>Étape 8 — Planning annuel des interventions préventives</t>
  </si>
  <si>
    <t>Calendrier de maintenance — un « X » marque le(s) mois d'intervention</t>
  </si>
  <si>
    <t>ID Équip.</t>
  </si>
  <si>
    <t>Opération préventive</t>
  </si>
  <si>
    <t>Type</t>
  </si>
  <si>
    <t>Fréquence</t>
  </si>
  <si>
    <t>Réf. gamme</t>
  </si>
  <si>
    <t>Durée (h)</t>
  </si>
  <si>
    <t>Responsable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</si>
  <si>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</si>
  <si>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</si>
  <si>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</si>
  <si>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</si>
  <si>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</si>
  <si>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</si>
  <si>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</si>
  <si>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</si>
  <si>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</si>
  <si>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</si>
  <si>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</si>
  <si>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</si>
  <si>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Nb/an</t>
  </si>
  <si>
    <t>Charge/an (h)</t>
  </si>
  <si>
    <t>Imprimante 3D FDM</t>
  </si>
  <si>
    <t>Nettoyage plateau &amp; buse</t>
  </si>
  <si>
    <t>Nettoyage</t>
  </si>
  <si>
    <t>Hebdomadaire</t>
  </si>
  <si>
    <t>G-IMP-01</t>
  </si>
  <si>
    <t>Technicien</t>
  </si>
  <si>
    <t>X</t>
  </si>
  <si>
    <t>Tension courroies &amp; graissage axes</t>
  </si>
  <si>
    <t>Inspection</t>
  </si>
  <si>
    <t>Trimestriel</t>
  </si>
  <si>
    <t>G-IMP-02</t>
  </si>
  <si>
    <t>Remplacement buse</t>
  </si>
  <si>
    <t>Remplacement</t>
  </si>
  <si>
    <t>Semestriel</t>
  </si>
  <si>
    <t>G-IMP-03</t>
  </si>
  <si>
    <t>MAJ firmware &amp; calibration</t>
  </si>
  <si>
    <t>Étalonnage</t>
  </si>
  <si>
    <t>Annuel</t>
  </si>
  <si>
    <t>G-IMP-04</t>
  </si>
  <si>
    <t>Parc FDM (x4)</t>
  </si>
  <si>
    <t>Nettoyage plateaux &amp; buses</t>
  </si>
  <si>
    <t>Contrôle &amp; entretien courroies</t>
  </si>
  <si>
    <t>Imprimante résine SLA</t>
  </si>
  <si>
    <t>Nettoyage cuve &amp; contrôle film FEP</t>
  </si>
  <si>
    <t>Mensuel</t>
  </si>
  <si>
    <t>G-RES-01</t>
  </si>
  <si>
    <t>Calibration plateau</t>
  </si>
  <si>
    <t>G-RES-02</t>
  </si>
  <si>
    <t>Remplacement film FEP</t>
  </si>
  <si>
    <t>G-RES-03</t>
  </si>
  <si>
    <t>Découpe laser CO2</t>
  </si>
  <si>
    <t>Nettoyage optiques (miroirs/lentille)</t>
  </si>
  <si>
    <t>G-LAS-01</t>
  </si>
  <si>
    <t>Contrôle liquide de refroidissement</t>
  </si>
  <si>
    <t>G-LAS-02</t>
  </si>
  <si>
    <t>Nettoyage filtre d'extraction</t>
  </si>
  <si>
    <t>G-LAS-03</t>
  </si>
  <si>
    <t>Contrôle puissance tube &amp; alignement</t>
  </si>
  <si>
    <t>G-LAS-04</t>
  </si>
  <si>
    <t>Prestataire</t>
  </si>
  <si>
    <t>Remplacement préventif lentille</t>
  </si>
  <si>
    <t>G-LAS-05</t>
  </si>
  <si>
    <t>Découpeuse vinyle</t>
  </si>
  <si>
    <t>Nettoyage rail &amp; contrôle lame</t>
  </si>
  <si>
    <t>G-VIN-01</t>
  </si>
  <si>
    <t>Remplacement lame</t>
  </si>
  <si>
    <t>G-VIN-02</t>
  </si>
  <si>
    <t>Fraiseuse CNC précision</t>
  </si>
  <si>
    <t>Nettoyage &amp; dépoussiérage</t>
  </si>
  <si>
    <t>G-CNC-01</t>
  </si>
  <si>
    <t>Graissage vis &amp; guides</t>
  </si>
  <si>
    <t>Lubrification</t>
  </si>
  <si>
    <t>G-CNC-02</t>
  </si>
  <si>
    <t>Contrôle broche &amp; serrages</t>
  </si>
  <si>
    <t>G-CNC-03</t>
  </si>
  <si>
    <t>Révision générale (courroies/roulements)</t>
  </si>
  <si>
    <t>Révision</t>
  </si>
  <si>
    <t>G-CNC-05</t>
  </si>
  <si>
    <t>Nettoyage &amp; aspiration copeaux</t>
  </si>
  <si>
    <t>Graissage &amp; contrôle outils</t>
  </si>
  <si>
    <t>Révision générale</t>
  </si>
  <si>
    <t>Station de soudure</t>
  </si>
  <si>
    <t>Nettoyage pannes &amp; contrôle t°</t>
  </si>
  <si>
    <t>G-ELE-01</t>
  </si>
  <si>
    <t>Étalonnage température</t>
  </si>
  <si>
    <t>G-ELE-02</t>
  </si>
  <si>
    <t>Banc de mesure</t>
  </si>
  <si>
    <t>Vérification métrologique</t>
  </si>
  <si>
    <t>G-ELE-03</t>
  </si>
  <si>
    <t>Nettoyage &amp; graissage</t>
  </si>
  <si>
    <t>G-BOI-01</t>
  </si>
  <si>
    <t>Contrôle sécurité &amp; courroie</t>
  </si>
  <si>
    <t>G-BOI-02</t>
  </si>
  <si>
    <t>Nettoyage &amp; contrôle protecteur/lame</t>
  </si>
  <si>
    <t>G-BOI-03</t>
  </si>
  <si>
    <t>G-BOI-04</t>
  </si>
  <si>
    <t>Nettoyage &amp; huilage</t>
  </si>
  <si>
    <t>G-TEX-01</t>
  </si>
  <si>
    <t>Révision têtes</t>
  </si>
  <si>
    <t>G-TEX-02</t>
  </si>
  <si>
    <t>Purge condensats &amp; contrôle pression</t>
  </si>
  <si>
    <t>G-CMP-01</t>
  </si>
  <si>
    <t>Contrôle/nettoyage filtre à air</t>
  </si>
  <si>
    <t>G-CMP-02</t>
  </si>
  <si>
    <t>Vidange huile</t>
  </si>
  <si>
    <t>G-CMP-03</t>
  </si>
  <si>
    <t>Aspiration / extraction</t>
  </si>
  <si>
    <t>Contrôle &amp; nettoyage filtres</t>
  </si>
  <si>
    <t>G-ASP-01</t>
  </si>
  <si>
    <t>Remplacement filtres</t>
  </si>
  <si>
    <t>G-ASP-02</t>
  </si>
  <si>
    <t>TOTAL</t>
  </si>
  <si>
    <t>Légende :</t>
  </si>
  <si>
    <t>X = intervention planifiée le mois • Nb/an et Charge/an calculés automatiquement • Révisions lourdes placées en août</t>
  </si>
  <si>
    <t>Étape 8 (complément) — Calendrier hebdomadaire des interventions</t>
  </si>
  <si>
    <t>Déclinaison du planning annuel sur 52 semaines — permet le lissage de la charge</t>
  </si>
  <si>
    <t>Opération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</si>
  <si>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</si>
  <si>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</si>
  <si>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</si>
  <si>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</si>
  <si>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</si>
  <si>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</si>
  <si>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</si>
  <si>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</si>
  <si>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</si>
  <si>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</si>
  <si>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</si>
  <si>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</si>
  <si>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</si>
  <si>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</si>
  <si>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</si>
  <si>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</si>
  <si>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</si>
  <si>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</si>
  <si>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</si>
  <si>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</si>
  <si>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</si>
  <si>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</si>
  <si>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</si>
  <si>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</si>
  <si>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</si>
  <si>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</si>
  <si>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</si>
  <si>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</si>
  <si>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</si>
  <si>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</si>
  <si>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</si>
  <si>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</si>
  <si>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</si>
  <si>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</si>
  <si>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</si>
  <si>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</si>
  <si>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</si>
  <si>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</si>
  <si>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</si>
  <si>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</si>
  <si>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</si>
  <si>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</si>
  <si>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</si>
  <si>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</si>
  <si>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</si>
  <si>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</si>
  <si>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</si>
  <si>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</si>
  <si>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</si>
  <si>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</si>
  <si>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</si>
  <si>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</si>
  <si>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Total h</t>
  </si>
  <si>
    <t>CHARGE DE LA SEMAINE (h)</t>
  </si>
  <si>
    <t>Capacité hebdomadaire disponible (h) — à ajuster selon l'effectif :</t>
  </si>
  <si>
    <t>Nombre de semaines en surcharge :</t>
  </si>
  <si>
    <t>Étape 9 — Base de données des pièces de rechange</t>
  </si>
  <si>
    <t>Consommables, pièces d'usure et de sécurité — gestion des seuils de réappro.</t>
  </si>
  <si>
    <t>Réf. pièce</t>
  </si>
  <si>
    <t>Désignation</t>
  </si>
  <si>
    <t>Catégorie</t>
  </si>
  <si>
    <t>Équip. associé</t>
  </si>
  <si>
    <t>Fournisseur</t>
  </si>
  <si>
    <t>Réf. fourn.</t>
  </si>
  <si>
    <t>Prix U. (MAD)</t>
  </si>
  <si>
    <t>Unité</t>
  </si>
  <si>
    <t>Stock</t>
  </si>
  <si>
    <t>Stock mini</t>
  </si>
  <si>
    <t>Stock maxi</t>
  </si>
  <si>
    <t>À commander</t>
  </si>
  <si>
    <t>Délai (j)</t>
  </si>
  <si>
    <t>Emplacement</t>
  </si>
  <si>
    <t>Valeur stock (MAD)</t>
  </si>
  <si>
    <t>Statut</t>
  </si>
  <si>
    <t>PR-001</t>
  </si>
  <si>
    <t>Buse laiton 0.4 mm (FDM)</t>
  </si>
  <si>
    <t>Usure</t>
  </si>
  <si>
    <t>FL-IMP-01/02</t>
  </si>
  <si>
    <t>3D Distrib. Maroc</t>
  </si>
  <si>
    <t>NZ-04-BR</t>
  </si>
  <si>
    <t>u</t>
  </si>
  <si>
    <t>Casier A1</t>
  </si>
  <si>
    <t>PR-002</t>
  </si>
  <si>
    <t>Plaque PEI / adhésive</t>
  </si>
  <si>
    <t>Consommable</t>
  </si>
  <si>
    <t>PEI-235</t>
  </si>
  <si>
    <t>PR-003</t>
  </si>
  <si>
    <t>Tube PTFE (bowden)</t>
  </si>
  <si>
    <t>PTFE-2x4</t>
  </si>
  <si>
    <t>m</t>
  </si>
  <si>
    <t>PR-004</t>
  </si>
  <si>
    <t>Courroie GT2 (6 mm)</t>
  </si>
  <si>
    <t>GT2-6</t>
  </si>
  <si>
    <t>Casier A2</t>
  </si>
  <si>
    <t>PR-005</t>
  </si>
  <si>
    <t>Filament PLA 1.75 (1 kg)</t>
  </si>
  <si>
    <t>PLA-1K</t>
  </si>
  <si>
    <t>kg</t>
  </si>
  <si>
    <t>Étagère B</t>
  </si>
  <si>
    <t>PR-006</t>
  </si>
  <si>
    <t>Filament ABS 1.75 (1 kg)</t>
  </si>
  <si>
    <t>ABS-1K</t>
  </si>
  <si>
    <t>PR-007</t>
  </si>
  <si>
    <t>Film FEP (SLA)</t>
  </si>
  <si>
    <t>Formlabs EU</t>
  </si>
  <si>
    <t>FEP-FORM</t>
  </si>
  <si>
    <t>Casier A3</t>
  </si>
  <si>
    <t>PR-008</t>
  </si>
  <si>
    <t>Résine standard (1 L)</t>
  </si>
  <si>
    <t>RES-STD</t>
  </si>
  <si>
    <t>L</t>
  </si>
  <si>
    <t>PR-009</t>
  </si>
  <si>
    <t>Alcool isopropylique (5 L)</t>
  </si>
  <si>
    <t>Chimie Sud</t>
  </si>
  <si>
    <t>IPA-5L</t>
  </si>
  <si>
    <t>Local produits</t>
  </si>
  <si>
    <t>PR-010</t>
  </si>
  <si>
    <t>Lentille focalisation laser</t>
  </si>
  <si>
    <t>Trotec MA</t>
  </si>
  <si>
    <t>LNS-25</t>
  </si>
  <si>
    <t>Coffre sécurité</t>
  </si>
  <si>
    <t>PR-011</t>
  </si>
  <si>
    <t>Miroir réfléchissant laser</t>
  </si>
  <si>
    <t>MIR-20</t>
  </si>
  <si>
    <t>PR-012</t>
  </si>
  <si>
    <t>Liquide de refroidissement laser</t>
  </si>
  <si>
    <t>COOL-5L</t>
  </si>
  <si>
    <t>PR-013</t>
  </si>
  <si>
    <t>Filtre d'extraction (charbon)</t>
  </si>
  <si>
    <t>FL-LAS-01/ASP-01</t>
  </si>
  <si>
    <t>AirClean</t>
  </si>
  <si>
    <t>FLT-CH</t>
  </si>
  <si>
    <t>Casier A4</t>
  </si>
  <si>
    <t>PR-014</t>
  </si>
  <si>
    <t>Lame de découpe vinyle</t>
  </si>
  <si>
    <t>Roland MA</t>
  </si>
  <si>
    <t>BLD-45</t>
  </si>
  <si>
    <t>PR-015</t>
  </si>
  <si>
    <t>Fraises / outils coupants CNC</t>
  </si>
  <si>
    <t>FL-CNC-01/02</t>
  </si>
  <si>
    <t>Outillage Agadir</t>
  </si>
  <si>
    <t>MILL-SET</t>
  </si>
  <si>
    <t>Casier C1</t>
  </si>
  <si>
    <t>PR-016</t>
  </si>
  <si>
    <t>Roulement broche CNC</t>
  </si>
  <si>
    <t>Rechange</t>
  </si>
  <si>
    <t>BRG-608</t>
  </si>
  <si>
    <t>PR-017</t>
  </si>
  <si>
    <t>Graisse guides / vis</t>
  </si>
  <si>
    <t>GRS-100</t>
  </si>
  <si>
    <t>PR-018</t>
  </si>
  <si>
    <t>Panne fer à souder</t>
  </si>
  <si>
    <t>Elektro Souss</t>
  </si>
  <si>
    <t>TIP-WT</t>
  </si>
  <si>
    <t>Casier D1</t>
  </si>
  <si>
    <t>PR-019</t>
  </si>
  <si>
    <t>Tresse à dessouder / flux</t>
  </si>
  <si>
    <t>FLX-KIT</t>
  </si>
  <si>
    <t>PR-020</t>
  </si>
  <si>
    <t>Forets métal/bois (jeu)</t>
  </si>
  <si>
    <t>DRL-SET</t>
  </si>
  <si>
    <t>Casier C2</t>
  </si>
  <si>
    <t>PR-021</t>
  </si>
  <si>
    <t>Lame scie à ruban</t>
  </si>
  <si>
    <t>SAW-BND</t>
  </si>
  <si>
    <t>PR-022</t>
  </si>
  <si>
    <t>Disque abrasif / ponçage</t>
  </si>
  <si>
    <t>ABR-120</t>
  </si>
  <si>
    <t>PR-023</t>
  </si>
  <si>
    <t>Aiguilles brodeuse (jeu)</t>
  </si>
  <si>
    <t>Textil Pro</t>
  </si>
  <si>
    <t>NDL-PR</t>
  </si>
  <si>
    <t>Casier D2</t>
  </si>
  <si>
    <t>PR-024</t>
  </si>
  <si>
    <t>Fil broderie (bobines)</t>
  </si>
  <si>
    <t>THR-SET</t>
  </si>
  <si>
    <t>PR-025</t>
  </si>
  <si>
    <t>Filtre à air compresseur</t>
  </si>
  <si>
    <t>Air Pro MA</t>
  </si>
  <si>
    <t>CMP-FLT</t>
  </si>
  <si>
    <t>PR-026</t>
  </si>
  <si>
    <t>Huile compresseur (1 L)</t>
  </si>
  <si>
    <t>CMP-OIL</t>
  </si>
  <si>
    <t>PR-027</t>
  </si>
  <si>
    <t>Filtre aspiration (rechange)</t>
  </si>
  <si>
    <t>ASP-FLT</t>
  </si>
  <si>
    <t>PR-028</t>
  </si>
  <si>
    <t>Fusibles / sécurités (jeu)</t>
  </si>
  <si>
    <t>Sécurité</t>
  </si>
  <si>
    <t>Tous</t>
  </si>
  <si>
    <t>FUSE-KIT</t>
  </si>
  <si>
    <t>PR-029</t>
  </si>
  <si>
    <t>EPI (gants/lunettes)</t>
  </si>
  <si>
    <t>SafeWork MA</t>
  </si>
  <si>
    <t>EPI-KIT</t>
  </si>
  <si>
    <t>Armoire EPI</t>
  </si>
  <si>
    <t>PR-030</t>
  </si>
  <si>
    <t>Kit nettoyage optiques</t>
  </si>
  <si>
    <t>CLN-OPT</t>
  </si>
  <si>
    <t>VALEUR TOTALE DU STOCK (MAD)</t>
  </si>
  <si>
    <t>Étape 9 (complément) — Fournisseurs et mouvements de stock</t>
  </si>
  <si>
    <t>Carnet fournisseurs et journal des entrées/sorties du magasin</t>
  </si>
  <si>
    <t>A. Carnet des fournisseurs</t>
  </si>
  <si>
    <t>Code</t>
  </si>
  <si>
    <t>Domaine</t>
  </si>
  <si>
    <t>Contact</t>
  </si>
  <si>
    <t>Téléphone / Email</t>
  </si>
  <si>
    <t>Délai moyen (j)</t>
  </si>
  <si>
    <t>Conditions de paiement</t>
  </si>
  <si>
    <t>Franco de port</t>
  </si>
  <si>
    <t>Évaluation</t>
  </si>
  <si>
    <t>F01</t>
  </si>
  <si>
    <t>Consommables et pièces impression 3D</t>
  </si>
  <si>
    <t>Service commercial</t>
  </si>
  <si>
    <t>commande@—</t>
  </si>
  <si>
    <t>30 jours fin de mois</t>
  </si>
  <si>
    <t>1 500 MAD</t>
  </si>
  <si>
    <t>Bon</t>
  </si>
  <si>
    <t>F02</t>
  </si>
  <si>
    <t>Résines et consommables SLA</t>
  </si>
  <si>
    <t>Distributeur agréé</t>
  </si>
  <si>
    <t>eu-orders@—</t>
  </si>
  <si>
    <t>Paiement à la commande</t>
  </si>
  <si>
    <t>Non</t>
  </si>
  <si>
    <t>Moyen (délai)</t>
  </si>
  <si>
    <t>F03</t>
  </si>
  <si>
    <t>Trotec Maroc</t>
  </si>
  <si>
    <t>Optiques, tube laser, SAV</t>
  </si>
  <si>
    <t>Technico-commercial</t>
  </si>
  <si>
    <t>support@—</t>
  </si>
  <si>
    <t>45 jours</t>
  </si>
  <si>
    <t>F04</t>
  </si>
  <si>
    <t>Roland Maroc</t>
  </si>
  <si>
    <t>Découpe vinyle et CNC de précision</t>
  </si>
  <si>
    <t>Service technique</t>
  </si>
  <si>
    <t>sav@—</t>
  </si>
  <si>
    <t>30 jours</t>
  </si>
  <si>
    <t>2 000 MAD</t>
  </si>
  <si>
    <t>F05</t>
  </si>
  <si>
    <t>Outils coupants, roulements, quincaillerie</t>
  </si>
  <si>
    <t>Comptoir</t>
  </si>
  <si>
    <t>contact@—</t>
  </si>
  <si>
    <t>Comptant</t>
  </si>
  <si>
    <t>1 000 MAD</t>
  </si>
  <si>
    <t>Très bon</t>
  </si>
  <si>
    <t>F06</t>
  </si>
  <si>
    <t>Composants et matériel électronique</t>
  </si>
  <si>
    <t>800 MAD</t>
  </si>
  <si>
    <t>F07</t>
  </si>
  <si>
    <t>Filtration et extraction</t>
  </si>
  <si>
    <t>devis@—</t>
  </si>
  <si>
    <t>Moyen</t>
  </si>
  <si>
    <t>F08</t>
  </si>
  <si>
    <t>Compresseurs et air comprimé</t>
  </si>
  <si>
    <t>Technicien référent</t>
  </si>
  <si>
    <t>F09</t>
  </si>
  <si>
    <t>Consommables broderie et textile</t>
  </si>
  <si>
    <t>vente@—</t>
  </si>
  <si>
    <t>1 200 MAD</t>
  </si>
  <si>
    <t>F10</t>
  </si>
  <si>
    <t>EPI et sécurité</t>
  </si>
  <si>
    <t>500 MAD</t>
  </si>
  <si>
    <t>F11</t>
  </si>
  <si>
    <t>Produits chimiques et solvants</t>
  </si>
  <si>
    <t>B. Journal des mouvements de stock (gabarit de saisie)</t>
  </si>
  <si>
    <t>Date</t>
  </si>
  <si>
    <t>Type de mouvement</t>
  </si>
  <si>
    <t>Quantité</t>
  </si>
  <si>
    <t>N° OT / Commande</t>
  </si>
  <si>
    <t>Intervenant</t>
  </si>
  <si>
    <t>Observation</t>
  </si>
  <si>
    <t>2026-01-08</t>
  </si>
  <si>
    <t>Sortie</t>
  </si>
  <si>
    <t>OT-2026-014</t>
  </si>
  <si>
    <t>Remplacement préventif</t>
  </si>
  <si>
    <t>2026-01-12</t>
  </si>
  <si>
    <t>OT-2026-021</t>
  </si>
  <si>
    <t>Passage en rupture</t>
  </si>
  <si>
    <t>2026-01-15</t>
  </si>
  <si>
    <t>Commande</t>
  </si>
  <si>
    <t>CDE-2026-003</t>
  </si>
  <si>
    <t>Magasinier</t>
  </si>
  <si>
    <t>Réappro. sur alerte seuil</t>
  </si>
  <si>
    <t>2026-02-04</t>
  </si>
  <si>
    <t>Entrée</t>
  </si>
  <si>
    <t>Livraison conforme</t>
  </si>
  <si>
    <t>CDE-2026-005</t>
  </si>
  <si>
    <t>Réappro. périodique</t>
  </si>
  <si>
    <t>2026-02-11</t>
  </si>
  <si>
    <t>OT-2026-033</t>
  </si>
  <si>
    <t>Remplacement annuel</t>
  </si>
  <si>
    <t>Règle de gestion : toute sortie est obligatoirement rattachée à un n° d'OT ; le stock de l'onglet « 9. Pièces de rechange » est recalculé par la GMAO à partir de ce journal (stock = entrées − sorties + inventaires).</t>
  </si>
  <si>
    <t>Étape 12 — Diagrammes de workflow</t>
  </si>
  <si>
    <t>Représentation graphique des processus de maintenance et du cycle de vie de l'ordre de travail</t>
  </si>
  <si>
    <t>Processus A — Maintenance corrective (curative)</t>
  </si>
  <si>
    <t>Processus B — Maintenance préventive</t>
  </si>
  <si>
    <t>Cycle de vie d'un Ordre de Travail (états et transitions)</t>
  </si>
  <si>
    <t>Lecture des schémas : ovale = début/fin • rectangle arrondi = activité • losange = décision • trait discontinu = transition exceptionnelle. Les couleurs reprennent celles des statuts d'OT (gris = nouveau, bleu = planifié/assigné, jaune = attente, vert = réalisé/clôturé, rouge = annulé).</t>
  </si>
  <si>
    <t>Processus C — Réapprovisionnement du magasin</t>
  </si>
  <si>
    <t>Processus D — Mise en service d'un nouvel équipement</t>
  </si>
  <si>
    <t>Étape 12 — Processus de maintenance (workflows)</t>
  </si>
  <si>
    <t>Représentation des enchaînements d'activités par acteur (swim-lane) + cycle de vie de l'OT</t>
  </si>
  <si>
    <t>De la demande d'intervention (DI) à la clôture de l'ordre de travail (OT)</t>
  </si>
  <si>
    <t>N°</t>
  </si>
  <si>
    <t>Acteur / Rôle</t>
  </si>
  <si>
    <t>Action</t>
  </si>
  <si>
    <t>Sortie / Livrable</t>
  </si>
  <si>
    <t>Décision</t>
  </si>
  <si>
    <t>Utilisateur / Enseignant</t>
  </si>
  <si>
    <t>Constate une panne ou anomalie et crée une Demande d'Intervention (DI)</t>
  </si>
  <si>
    <t>Défaillance constatée</t>
  </si>
  <si>
    <t>DI enregistrée</t>
  </si>
  <si>
    <t>Responsable maintenance</t>
  </si>
  <si>
    <t>Analyse la DI, qualifie l'urgence et la criticité</t>
  </si>
  <si>
    <t>DI</t>
  </si>
  <si>
    <t>DI qualifiée</t>
  </si>
  <si>
    <t>Recevable ?</t>
  </si>
  <si>
    <t>Si rejetée : clôture la DI avec motif ; sinon crée un Ordre de Travail (OT)</t>
  </si>
  <si>
    <t>OT créé / DI clôturée</t>
  </si>
  <si>
    <t>Oui → OT / Non → fin</t>
  </si>
  <si>
    <t>Planifie l'OT et affecte un technicien</t>
  </si>
  <si>
    <t>OT</t>
  </si>
  <si>
    <t>OT planifié &amp; assigné</t>
  </si>
  <si>
    <t>Vérifie la disponibilité des pièces au magasin</t>
  </si>
  <si>
    <t>OT assigné</t>
  </si>
  <si>
    <t>Réservation pièces</t>
  </si>
  <si>
    <t>Pièce dispo ?</t>
  </si>
  <si>
    <t>Si rupture : déclenche un réappro. et met l'OT en attente</t>
  </si>
  <si>
    <t>Demande pièce</t>
  </si>
  <si>
    <t>Commande / OT en attente</t>
  </si>
  <si>
    <t>Oui → suite / Non → attente</t>
  </si>
  <si>
    <t>Réalise l'intervention selon la gamme, consomme les pièces</t>
  </si>
  <si>
    <t>OT + gamme</t>
  </si>
  <si>
    <t>Équipement réparé</t>
  </si>
  <si>
    <t>Renseigne le compte rendu : durée, pièces, observations</t>
  </si>
  <si>
    <t>Intervention</t>
  </si>
  <si>
    <t>OT réalisé</t>
  </si>
  <si>
    <t>Contrôle et clôture l'OT ; l'historique est mis à jour</t>
  </si>
  <si>
    <t>OT clôturé + historique</t>
  </si>
  <si>
    <t>Conforme ?</t>
  </si>
  <si>
    <t>GMAO</t>
  </si>
  <si>
    <t>Alimente les indicateurs (MTTR, coûts, disponibilité)</t>
  </si>
  <si>
    <t>OT clôturé</t>
  </si>
  <si>
    <t>KPI mis à jour</t>
  </si>
  <si>
    <t>Déclenchement automatique depuis le planning annuel des interventions</t>
  </si>
  <si>
    <t>GMAO (planning)</t>
  </si>
  <si>
    <t>Génère automatiquement les OT préventifs selon le calendrier (étape 8)</t>
  </si>
  <si>
    <t>Planning annuel</t>
  </si>
  <si>
    <t>OT préventifs générés</t>
  </si>
  <si>
    <t>Consolide et affecte les OT de la semaine/mois</t>
  </si>
  <si>
    <t>OT préventifs</t>
  </si>
  <si>
    <t>OT planifiés</t>
  </si>
  <si>
    <t>Prépare les pièces et outillages de la gamme</t>
  </si>
  <si>
    <t>Kit d'intervention</t>
  </si>
  <si>
    <t>Exécute la gamme préventive (nettoyage, contrôle, remplacement…)</t>
  </si>
  <si>
    <t>Gamme</t>
  </si>
  <si>
    <t>Opération réalisée</t>
  </si>
  <si>
    <t>Renseigne le CR et signale toute anomalie détectée</t>
  </si>
  <si>
    <t>OT réalisé (+ DI si anomalie)</t>
  </si>
  <si>
    <t>Anomalie ?</t>
  </si>
  <si>
    <t>Valide, clôture et ajuste le plan si nécessaire</t>
  </si>
  <si>
    <t>Met à jour l'historique et le taux de respect du préventif</t>
  </si>
  <si>
    <t>Cycle de vie d'un Ordre de Travail et représentation graphique des deux processus : voir l'onglet « 12. Diagrammes ».</t>
  </si>
  <si>
    <t>Étape 13 — Maquettes des formulaires métier</t>
  </si>
  <si>
    <t>Gabarits de saisie : Demande d'Intervention (DI), Ordre de Travail (OT), Historique</t>
  </si>
  <si>
    <t>FORMULAIRE — Demande d'Intervention (DI)</t>
  </si>
  <si>
    <t>N° DI (auto)</t>
  </si>
  <si>
    <t>Date de la demande</t>
  </si>
  <si>
    <t>Demandeur (nom)</t>
  </si>
  <si>
    <t>Rôle / Profil</t>
  </si>
  <si>
    <t>Équipement (ID)</t>
  </si>
  <si>
    <t>Description du problème</t>
  </si>
  <si>
    <t>Description (suite)</t>
  </si>
  <si>
    <t>Niveau d'urgence</t>
  </si>
  <si>
    <t>Équipement à l'arrêt ?</t>
  </si>
  <si>
    <t>Photo / pièce jointe</t>
  </si>
  <si>
    <t>Visa demandeur</t>
  </si>
  <si>
    <t>FORMULAIRE — Ordre de Travail (OT)</t>
  </si>
  <si>
    <t>N° OT (auto)</t>
  </si>
  <si>
    <t>N° DI liée</t>
  </si>
  <si>
    <t>Date de création</t>
  </si>
  <si>
    <t>Type de maintenance</t>
  </si>
  <si>
    <t>Criticité / Priorité</t>
  </si>
  <si>
    <t>Description de l'intervention</t>
  </si>
  <si>
    <t>Gamme associée (réf.)</t>
  </si>
  <si>
    <t>Technicien assigné</t>
  </si>
  <si>
    <t>Date planifiée</t>
  </si>
  <si>
    <t>Date début</t>
  </si>
  <si>
    <t>Date fin</t>
  </si>
  <si>
    <t>Durée réelle (h)</t>
  </si>
  <si>
    <t>Pièces utilisées (réf. + qté)</t>
  </si>
  <si>
    <t>Coût pièces (MAD)</t>
  </si>
  <si>
    <t>Coût main d'œuvre (MAD)</t>
  </si>
  <si>
    <t>État final</t>
  </si>
  <si>
    <t>Visa responsable</t>
  </si>
  <si>
    <t>Observations</t>
  </si>
  <si>
    <t>FICHE — Historique des interventions (par équipement)</t>
  </si>
  <si>
    <t>N° OT</t>
  </si>
  <si>
    <t>Description • Technicien • Durée • Coût</t>
  </si>
  <si>
    <t>Légende : champs à saisir = fond jaune • listes déroulantes sur urgence, type, état.</t>
  </si>
  <si>
    <t>FORMULAIRE — Fiche équipement</t>
  </si>
  <si>
    <t>ID équipement</t>
  </si>
  <si>
    <t>Localisation précise</t>
  </si>
  <si>
    <t>Fabricant</t>
  </si>
  <si>
    <t>Modèle</t>
  </si>
  <si>
    <t>N° de série</t>
  </si>
  <si>
    <t>Année de mise en service</t>
  </si>
  <si>
    <t>Criticité (A/B/C)</t>
  </si>
  <si>
    <t>État actuel</t>
  </si>
  <si>
    <t>Fin de garantie</t>
  </si>
  <si>
    <t>Contrat de maintenance</t>
  </si>
  <si>
    <t>Documents rattachés (réf.)</t>
  </si>
  <si>
    <t>Plan préventif associé (réf. gammes)</t>
  </si>
  <si>
    <t>FORMULAIRE — Fiche pièce de rechange</t>
  </si>
  <si>
    <t>Équipement(s) associé(s)</t>
  </si>
  <si>
    <t>Réf. fournisseur</t>
  </si>
  <si>
    <t>Prix unitaire (MAD)</t>
  </si>
  <si>
    <t>Délai d'appro. (j)</t>
  </si>
  <si>
    <t>Emplacement magasin</t>
  </si>
  <si>
    <t>FORMULAIRE — Demande de réapprovisionnement</t>
  </si>
  <si>
    <t>N° demande (auto)</t>
  </si>
  <si>
    <t>Demandeur</t>
  </si>
  <si>
    <t>Fournisseur pressenti</t>
  </si>
  <si>
    <t>Références et quantités demandées</t>
  </si>
  <si>
    <t>Références et quantités (suite)</t>
  </si>
  <si>
    <t>Motif</t>
  </si>
  <si>
    <t>Urgence</t>
  </si>
  <si>
    <t>Montant estimé (MAD)</t>
  </si>
  <si>
    <t>Budget imputé</t>
  </si>
  <si>
    <t>Champs obligatoires (contrôle de saisie à implémenter) : DI → équipement, description, urgence • OT → équipement, type, technicien, date planifiée • Fiche équipement → ID, atelier, criticité • Réappro. → référence, quantité, visa.</t>
  </si>
  <si>
    <t>Étape 14 — Indicateurs de performance &amp; tableau de bord</t>
  </si>
  <si>
    <t>Catalogue des KPI + données mensuelles + indicateurs calculés</t>
  </si>
  <si>
    <t>A. Catalogue des indicateurs</t>
  </si>
  <si>
    <t>Indicateur</t>
  </si>
  <si>
    <t>Définition</t>
  </si>
  <si>
    <t>Formule</t>
  </si>
  <si>
    <t>Cible</t>
  </si>
  <si>
    <t>Source</t>
  </si>
  <si>
    <t>K1</t>
  </si>
  <si>
    <t>MTBF</t>
  </si>
  <si>
    <t>Temps moyen de bon fonctionnement entre 2 pannes</t>
  </si>
  <si>
    <t>Heures de marche / Nb pannes</t>
  </si>
  <si>
    <t>h</t>
  </si>
  <si>
    <t>≥ 300</t>
  </si>
  <si>
    <t>OT correctifs</t>
  </si>
  <si>
    <t>K2</t>
  </si>
  <si>
    <t>MTTR</t>
  </si>
  <si>
    <t>Temps moyen de réparation</t>
  </si>
  <si>
    <t>Σ durées réparation / Nb pannes</t>
  </si>
  <si>
    <t>≤ 4</t>
  </si>
  <si>
    <t>K3</t>
  </si>
  <si>
    <t>Disponibilité</t>
  </si>
  <si>
    <t>Taux de disponibilité des équipements</t>
  </si>
  <si>
    <t>MTBF / (MTBF + MTTR)</t>
  </si>
  <si>
    <t>%</t>
  </si>
  <si>
    <t>≥ 95</t>
  </si>
  <si>
    <t>K1, K2</t>
  </si>
  <si>
    <t>K4</t>
  </si>
  <si>
    <t>Respect préventif</t>
  </si>
  <si>
    <t>Part des OT préventifs réalisés à temps</t>
  </si>
  <si>
    <t>OT prév. réalisés / planifiés</t>
  </si>
  <si>
    <t>≥ 90</t>
  </si>
  <si>
    <t>K5</t>
  </si>
  <si>
    <t>Ratio prév./corr.</t>
  </si>
  <si>
    <t>Équilibre préventif vs correctif</t>
  </si>
  <si>
    <t>OT préventifs / OT correctifs</t>
  </si>
  <si>
    <t>ratio</t>
  </si>
  <si>
    <t>≥ 2</t>
  </si>
  <si>
    <t>K6</t>
  </si>
  <si>
    <t>Backlog</t>
  </si>
  <si>
    <t>OT en retard (non clôturés à échéance)</t>
  </si>
  <si>
    <t>Nb OT en retard</t>
  </si>
  <si>
    <t>≤ 5</t>
  </si>
  <si>
    <t>Hebdo</t>
  </si>
  <si>
    <t>OT ouverts</t>
  </si>
  <si>
    <t>K7</t>
  </si>
  <si>
    <t>Coût maintenance</t>
  </si>
  <si>
    <t>Coût total (pièces + main d'œuvre)</t>
  </si>
  <si>
    <t>Σ coûts OT</t>
  </si>
  <si>
    <t>MAD</t>
  </si>
  <si>
    <t>Suivi</t>
  </si>
  <si>
    <t>OT clôturés</t>
  </si>
  <si>
    <t>K8</t>
  </si>
  <si>
    <t>Taux rupture pièces</t>
  </si>
  <si>
    <t>Références en rupture de stock</t>
  </si>
  <si>
    <t>Réf. rupture / Réf. total</t>
  </si>
  <si>
    <t>Magasin</t>
  </si>
  <si>
    <t>K9</t>
  </si>
  <si>
    <t>Pannes récurrentes</t>
  </si>
  <si>
    <t>Équipements avec ≥ 3 pannes / trimestre</t>
  </si>
  <si>
    <t>Nb équip. concernés</t>
  </si>
  <si>
    <t>nb</t>
  </si>
  <si>
    <t>0</t>
  </si>
  <si>
    <t>Historique</t>
  </si>
  <si>
    <t>B. Données mensuelles (exemple — à alimenter par la GMAO)</t>
  </si>
  <si>
    <t>Indicateur brut</t>
  </si>
  <si>
    <t>Heures de marche cumulées</t>
  </si>
  <si>
    <t>Nombre de pannes (correctifs)</t>
  </si>
  <si>
    <t>Σ durée réparations</t>
  </si>
  <si>
    <t>OT préventifs planifiés</t>
  </si>
  <si>
    <t>OT préventifs réalisés à temps</t>
  </si>
  <si>
    <t>Coût pièces + MO</t>
  </si>
  <si>
    <t>Réf. pièces en rupture</t>
  </si>
  <si>
    <t>C. Indicateurs calculés (formules — se recalculent automatiquement)</t>
  </si>
  <si>
    <t>Indicateur calculé</t>
  </si>
  <si>
    <t>MTBF (h)</t>
  </si>
  <si>
    <t>MTTR (h)</t>
  </si>
  <si>
    <t>Disponibilité (%)</t>
  </si>
  <si>
    <t>≥ 95%</t>
  </si>
  <si>
    <t>Respect préventif (%)</t>
  </si>
  <si>
    <t>≥ 90%</t>
  </si>
  <si>
    <t>Ratio préventif/correctif</t>
  </si>
  <si>
    <t>D. Liste des tableaux de bord (livrable étape 14)</t>
  </si>
  <si>
    <t>Tableau de bord</t>
  </si>
  <si>
    <t>Destinataire (profil)</t>
  </si>
  <si>
    <t>Objectif</t>
  </si>
  <si>
    <t>KPI affichés</t>
  </si>
  <si>
    <t>Périodicité</t>
  </si>
  <si>
    <t>Type de visualisation</t>
  </si>
  <si>
    <t>Filtres disponibles</t>
  </si>
  <si>
    <t>TB-01</t>
  </si>
  <si>
    <t>Pilotage global de la maintenance</t>
  </si>
  <si>
    <t>Responsable maintenance (P2)</t>
  </si>
  <si>
    <t>Vue d'ensemble de la performance du parc</t>
  </si>
  <si>
    <t>K1, K2, K3, K4, K5</t>
  </si>
  <si>
    <t>Cartes de synthèse + courbes</t>
  </si>
  <si>
    <t>Période, atelier, criticité</t>
  </si>
  <si>
    <t>TB-02</t>
  </si>
  <si>
    <t>Suivi des interventions en cours</t>
  </si>
  <si>
    <t>Piloter la charge et les retards au quotidien</t>
  </si>
  <si>
    <t>K6 (backlog), OT par statut</t>
  </si>
  <si>
    <t>Temps réel / Hebdo</t>
  </si>
  <si>
    <t>Tableau + graphique en barres</t>
  </si>
  <si>
    <t>Statut, technicien, priorité</t>
  </si>
  <si>
    <t>TB-03</t>
  </si>
  <si>
    <t>Mon plan de charge</t>
  </si>
  <si>
    <t>Technicien (P3)</t>
  </si>
  <si>
    <t>Visualiser les OT affectés et leur échéance</t>
  </si>
  <si>
    <t>OT assignés, durée prévue, retards</t>
  </si>
  <si>
    <t>Temps réel</t>
  </si>
  <si>
    <t>Liste + calendrier</t>
  </si>
  <si>
    <t>Semaine, équipement</t>
  </si>
  <si>
    <t>TB-04</t>
  </si>
  <si>
    <t>Respect du plan préventif</t>
  </si>
  <si>
    <t>Mesurer l'exécution du planning annuel</t>
  </si>
  <si>
    <t>K4, K5, OT préventifs générés/réalisés</t>
  </si>
  <si>
    <t>Jauge + histogramme empilé</t>
  </si>
  <si>
    <t>Mois, atelier, équipement</t>
  </si>
  <si>
    <t>TB-05</t>
  </si>
  <si>
    <t>Disponibilité et fiabilité du parc</t>
  </si>
  <si>
    <t>Responsable + Direction (P2, P8)</t>
  </si>
  <si>
    <t>Identifier les équipements les moins fiables</t>
  </si>
  <si>
    <t>K1, K2, K3, K9</t>
  </si>
  <si>
    <t>Courbes + classement (top 5)</t>
  </si>
  <si>
    <t>Équipement, criticité, période</t>
  </si>
  <si>
    <t>TB-06</t>
  </si>
  <si>
    <t>Magasin et approvisionnements</t>
  </si>
  <si>
    <t>Magasinier (P4)</t>
  </si>
  <si>
    <t>Éviter les ruptures et suivre la valeur du stock</t>
  </si>
  <si>
    <t>K8, valeur du stock, réf. à commander</t>
  </si>
  <si>
    <t>Tableau à feux tricolores</t>
  </si>
  <si>
    <t>Catégorie, fournisseur, équipement</t>
  </si>
  <si>
    <t>TB-07</t>
  </si>
  <si>
    <t>Coûts de maintenance</t>
  </si>
  <si>
    <t>Suivre le budget pièces et main d'œuvre</t>
  </si>
  <si>
    <t>K7, coût par équipement, coût par atelier</t>
  </si>
  <si>
    <t>Mensuel / Annuel</t>
  </si>
  <si>
    <t>Histogramme + cumul</t>
  </si>
  <si>
    <t>Période, atelier, type de maintenance</t>
  </si>
  <si>
    <t>TB-08</t>
  </si>
  <si>
    <t>Synthèse direction</t>
  </si>
  <si>
    <t>Direction (P8)</t>
  </si>
  <si>
    <t>Vision consolidée et aide à la décision d'investissement</t>
  </si>
  <si>
    <t>K3, K7, K9, taux de panne</t>
  </si>
  <si>
    <t>Cartes de synthèse + tendances</t>
  </si>
  <si>
    <t>Année, atelier</t>
  </si>
  <si>
    <t>TB-09</t>
  </si>
  <si>
    <t>Qualité du service rendu aux usagers</t>
  </si>
  <si>
    <t>Mesurer la réactivité vis-à-vis des demandes</t>
  </si>
  <si>
    <t>Délai moyen de prise en charge des DI, K2</t>
  </si>
  <si>
    <t>Courbes + répartition par atelier</t>
  </si>
  <si>
    <t>Période, profil demandeur</t>
  </si>
  <si>
    <t>Règle d'affichage : chaque tableau de bord n'est visible que par les profils listés (cf. étape 11). Les KPI sont recalculés à la clôture de chaque OT ; un indicateur hors cible s'affiche en rouge.</t>
  </si>
  <si>
    <t>Étape 14 (complément) — Tableau de bord par atelier</t>
  </si>
  <si>
    <t>Déclinaison des indicateurs par atelier — support du tableau de bord TB-05</t>
  </si>
  <si>
    <t>Synthèse par atelier (données d'exemple — alimentées par la GMAO)</t>
  </si>
  <si>
    <t>Nb équip.</t>
  </si>
  <si>
    <t>Dont criticité A</t>
  </si>
  <si>
    <t>Heures maintenance</t>
  </si>
  <si>
    <t>Coût (MAD)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</si>
</sst>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28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FFFFFF"/>
      <name val="Arial"/>
    </font>
    <font>
      <b/>
      <sz val="10.0"/>
      <color rgb="FFFFFFFF"/>
      <name val="Arial"/>
    </font>
    <font>
      <b/>
      <sz val="11.0"/>
      <color rgb="FF2F5496"/>
      <name val="Arial"/>
    </font>
    <font>
      <sz val="10.0"/>
      <color rgb="FF000000"/>
      <name val="Arial"/>
    </font>
    <font>
      <sz val="10.0"/>
      <color rgb="FF808080"/>
      <name val="Arial"/>
    </font>
    <font>
      <b/>
      <sz val="11.0"/>
      <color rgb="FFFFFFFF"/>
      <name val="Arial"/>
    </font>
    <font>
      <sz val="9.0"/>
      <color rgb="FF000000"/>
      <name val="Arial"/>
    </font>
    <font>
      <b/>
      <sz val="15.0"/>
      <color rgb="FFFFFFFF"/>
      <name val="Arial"/>
    </font>
    <font>
      <i/>
      <sz val="10.0"/>
      <color rgb="FFFFFFFF"/>
      <name val="Arial"/>
    </font>
    <font>
      <b/>
      <sz val="10.0"/>
      <color rgb="FF7F6000"/>
      <name val="Arial"/>
    </font>
    <font>
      <b/>
      <sz val="10.0"/>
      <color rgb="FF006100"/>
      <name val="Arial"/>
    </font>
    <font>
      <b/>
      <sz val="10.0"/>
      <color rgb="FF9C0006"/>
      <name val="Arial"/>
    </font>
    <font>
      <b/>
      <sz val="9.0"/>
      <color rgb="FFFFFFFF"/>
      <name val="Arial"/>
    </font>
    <font>
      <sz val="11.0"/>
      <color theme="1"/>
      <name val="Calibri"/>
    </font>
    <font>
      <b/>
      <sz val="9.0"/>
      <color rgb="FF000000"/>
      <name val="Arial"/>
    </font>
    <font>
      <i/>
      <sz val="9.0"/>
      <color rgb="FF808080"/>
      <name val="Arial"/>
    </font>
    <font>
      <b/>
      <sz val="8.0"/>
      <color rgb="FFFFFFFF"/>
      <name val="Arial"/>
    </font>
    <font>
      <b/>
      <sz val="10.0"/>
      <color rgb="FF2F5496"/>
      <name val="Arial"/>
    </font>
    <font>
      <b/>
      <sz val="12.0"/>
      <color rgb="FFFFFFFF"/>
      <name val="Arial"/>
    </font>
    <font>
      <b/>
      <sz val="9.0"/>
      <color rgb="FF9C0006"/>
      <name val="Arial"/>
    </font>
    <font>
      <b/>
      <sz val="9.0"/>
      <color rgb="FF7F6000"/>
      <name val="Arial"/>
    </font>
    <font>
      <b/>
      <sz val="9.0"/>
      <color rgb="FF006100"/>
      <name val="Arial"/>
    </font>
    <font>
      <b/>
      <sz val="9.0"/>
      <color rgb="FF2F5496"/>
      <name val="Arial"/>
    </font>
    <font>
      <b/>
      <sz val="10.0"/>
      <color rgb="FF1F3864"/>
      <name val="Arial"/>
    </font>
    <font>
      <b/>
      <sz val="9.0"/>
      <color rgb="FF1F3864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EAF0FA"/>
        <bgColor rgb="FFEAF0FA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FFF9E6"/>
        <bgColor rgb="FFFFF9E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4" fillId="3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1" fillId="6" fontId="8" numFmtId="0" xfId="0" applyAlignment="1" applyBorder="1" applyFill="1" applyFont="1">
      <alignment horizontal="left" shrinkToFit="0" vertical="center" wrapText="0"/>
    </xf>
    <xf borderId="5" fillId="0" fontId="9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1" fillId="2" fontId="10" numFmtId="0" xfId="0" applyAlignment="1" applyBorder="1" applyFont="1">
      <alignment horizontal="left" shrinkToFit="0" vertical="center" wrapText="0"/>
    </xf>
    <xf borderId="1" fillId="3" fontId="11" numFmtId="0" xfId="0" applyAlignment="1" applyBorder="1" applyFont="1">
      <alignment horizontal="left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7" fontId="12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4" fillId="8" fontId="13" numFmtId="0" xfId="0" applyAlignment="1" applyBorder="1" applyFill="1" applyFont="1">
      <alignment horizontal="center" shrinkToFit="0" vertical="center" wrapText="1"/>
    </xf>
    <xf borderId="4" fillId="9" fontId="14" numFmtId="0" xfId="0" applyAlignment="1" applyBorder="1" applyFill="1" applyFont="1">
      <alignment horizontal="center" shrinkToFit="0" vertical="center" wrapText="1"/>
    </xf>
    <xf borderId="4" fillId="0" fontId="9" numFmtId="2" xfId="0" applyAlignment="1" applyBorder="1" applyFont="1" applyNumberFormat="1">
      <alignment horizontal="center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4" fontId="9" numFmtId="2" xfId="0" applyAlignment="1" applyBorder="1" applyFont="1" applyNumberForma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4" fillId="2" fontId="15" numFmtId="0" xfId="0" applyAlignment="1" applyBorder="1" applyFont="1">
      <alignment horizontal="center" shrinkToFit="0" vertical="center" wrapText="1"/>
    </xf>
    <xf borderId="4" fillId="2" fontId="4" numFmtId="164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4" fillId="6" fontId="19" numFmtId="0" xfId="0" applyAlignment="1" applyBorder="1" applyFont="1">
      <alignment horizontal="center" shrinkToFit="0" vertical="center" wrapText="1"/>
    </xf>
    <xf borderId="5" fillId="2" fontId="15" numFmtId="0" xfId="0" applyAlignment="1" applyBorder="1" applyFont="1">
      <alignment horizontal="center" shrinkToFit="0" vertical="center" wrapText="1"/>
    </xf>
    <xf borderId="4" fillId="2" fontId="19" numFmtId="164" xfId="0" applyAlignment="1" applyBorder="1" applyFont="1" applyNumberFormat="1">
      <alignment horizontal="center" shrinkToFit="0" vertical="center" wrapText="1"/>
    </xf>
    <xf borderId="4" fillId="2" fontId="15" numFmtId="164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0"/>
    </xf>
    <xf borderId="4" fillId="10" fontId="20" numFmtId="0" xfId="0" applyAlignment="1" applyBorder="1" applyFill="1" applyFon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0" fontId="9" numFmtId="3" xfId="0" applyAlignment="1" applyBorder="1" applyFont="1" applyNumberFormat="1">
      <alignment horizontal="center" shrinkToFit="0" vertical="center" wrapText="1"/>
    </xf>
    <xf borderId="4" fillId="4" fontId="9" numFmtId="3" xfId="0" applyAlignment="1" applyBorder="1" applyFont="1" applyNumberFormat="1">
      <alignment horizontal="center" shrinkToFit="0" vertical="center" wrapText="1"/>
    </xf>
    <xf borderId="5" fillId="2" fontId="4" numFmtId="0" xfId="0" applyAlignment="1" applyBorder="1" applyFont="1">
      <alignment horizontal="right" shrinkToFit="0" vertical="center" wrapText="0"/>
    </xf>
    <xf borderId="4" fillId="2" fontId="4" numFmtId="3" xfId="0" applyAlignment="1" applyBorder="1" applyFont="1" applyNumberFormat="1">
      <alignment horizontal="center" shrinkToFit="0" vertical="center" wrapText="1"/>
    </xf>
    <xf borderId="4" fillId="2" fontId="16" numFmtId="0" xfId="0" applyAlignment="1" applyBorder="1" applyFont="1">
      <alignment shrinkToFit="0" vertical="bottom" wrapText="0"/>
    </xf>
    <xf borderId="1" fillId="3" fontId="21" numFmtId="0" xfId="0" applyAlignment="1" applyBorder="1" applyFont="1">
      <alignment horizontal="left" shrinkToFit="0" vertical="center" wrapText="0"/>
    </xf>
    <xf borderId="4" fillId="9" fontId="22" numFmtId="0" xfId="0" applyAlignment="1" applyBorder="1" applyFont="1">
      <alignment horizontal="center" shrinkToFit="0" vertical="center" wrapText="1"/>
    </xf>
    <xf borderId="4" fillId="7" fontId="23" numFmtId="0" xfId="0" applyAlignment="1" applyBorder="1" applyFont="1">
      <alignment horizontal="center" shrinkToFit="0" vertical="center" wrapText="1"/>
    </xf>
    <xf borderId="4" fillId="8" fontId="24" numFmtId="0" xfId="0" applyAlignment="1" applyBorder="1" applyFont="1">
      <alignment horizontal="center" shrinkToFit="0" vertical="center" wrapText="1"/>
    </xf>
    <xf borderId="4" fillId="10" fontId="16" numFmtId="0" xfId="0" applyAlignment="1" applyBorder="1" applyFont="1">
      <alignment shrinkToFit="0" vertical="bottom" wrapText="0"/>
    </xf>
    <xf borderId="0" fillId="0" fontId="18" numFmtId="0" xfId="0" applyAlignment="1" applyFont="1">
      <alignment horizontal="left" shrinkToFit="0" vertical="top" wrapText="1"/>
    </xf>
    <xf borderId="1" fillId="3" fontId="8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left" shrinkToFit="0" vertical="center" wrapText="0"/>
    </xf>
    <xf borderId="4" fillId="0" fontId="25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top" wrapText="1"/>
    </xf>
    <xf borderId="4" fillId="4" fontId="25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left" shrinkToFit="0" vertical="top" wrapText="1"/>
    </xf>
    <xf borderId="1" fillId="10" fontId="26" numFmtId="0" xfId="0" applyAlignment="1" applyBorder="1" applyFont="1">
      <alignment horizontal="left" shrinkToFit="0" vertical="center" wrapText="0"/>
    </xf>
    <xf borderId="8" fillId="2" fontId="2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4" fillId="11" fontId="27" numFmtId="0" xfId="0" applyAlignment="1" applyBorder="1" applyFill="1" applyFont="1">
      <alignment horizontal="left" shrinkToFit="0" vertical="center" wrapText="0"/>
    </xf>
    <xf borderId="5" fillId="10" fontId="9" numFmtId="0" xfId="0" applyAlignment="1" applyBorder="1" applyFont="1">
      <alignment horizontal="left" shrinkToFit="0" vertical="center" wrapText="1"/>
    </xf>
    <xf borderId="4" fillId="12" fontId="16" numFmtId="0" xfId="0" applyAlignment="1" applyBorder="1" applyFill="1" applyFont="1">
      <alignment shrinkToFit="0" vertical="bottom" wrapText="0"/>
    </xf>
    <xf borderId="4" fillId="10" fontId="9" numFmtId="0" xfId="0" applyAlignment="1" applyBorder="1" applyFont="1">
      <alignment horizontal="center" shrinkToFit="0" vertical="center" wrapText="1"/>
    </xf>
    <xf borderId="4" fillId="10" fontId="9" numFmtId="3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4" fillId="0" fontId="9" numFmtId="164" xfId="0" applyAlignment="1" applyBorder="1" applyFont="1" applyNumberFormat="1">
      <alignment horizontal="center" shrinkToFit="0" vertical="center" wrapText="1"/>
    </xf>
    <xf borderId="4" fillId="4" fontId="17" numFmtId="0" xfId="0" applyAlignment="1" applyBorder="1" applyFont="1">
      <alignment horizontal="left" shrinkToFit="0" vertical="center" wrapText="1"/>
    </xf>
    <xf borderId="4" fillId="4" fontId="9" numFmtId="164" xfId="0" applyAlignment="1" applyBorder="1" applyFont="1" applyNumberFormat="1">
      <alignment horizontal="center" shrinkToFit="0" vertical="center" wrapText="1"/>
    </xf>
    <xf borderId="4" fillId="0" fontId="9" numFmtId="165" xfId="0" applyAlignment="1" applyBorder="1" applyFont="1" applyNumberFormat="1">
      <alignment horizontal="center" shrinkToFit="0" vertical="center" wrapText="1"/>
    </xf>
    <xf borderId="4" fillId="4" fontId="9" numFmtId="165" xfId="0" applyAlignment="1" applyBorder="1" applyFont="1" applyNumberFormat="1">
      <alignment horizontal="center" shrinkToFit="0" vertical="center" wrapText="1"/>
    </xf>
    <xf borderId="4" fillId="2" fontId="15" numFmtId="3" xfId="0" applyAlignment="1" applyBorder="1" applyFont="1" applyNumberFormat="1">
      <alignment horizontal="center" shrinkToFit="0" vertical="center" wrapText="1"/>
    </xf>
    <xf borderId="4" fillId="2" fontId="15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>
        <b/>
        <sz val="9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9.0"/>
        <color rgb="FF7F6000"/>
        <name val="Arial"/>
      </font>
      <fill>
        <patternFill patternType="solid">
          <fgColor rgb="FFFFE699"/>
          <bgColor rgb="FFFFE699"/>
        </patternFill>
      </fill>
      <border/>
    </dxf>
    <dxf>
      <font>
        <b/>
        <sz val="9.0"/>
        <color rgb="FF9C0006"/>
        <name val="Arial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OT préventifs réalisés vs correctifs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OT préventifs réalisés à temps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'14. KPI - Dashboard'!$B$17:$G$17</c:f>
            </c:strRef>
          </c:cat>
          <c:val>
            <c:numRef>
              <c:f>'14. KPI - Dashboard'!$B$22:$G$22</c:f>
              <c:numCache/>
            </c:numRef>
          </c:val>
        </c:ser>
        <c:ser>
          <c:idx val="1"/>
          <c:order val="1"/>
          <c:tx>
            <c:v>OT correctifs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'14. KPI - Dashboard'!$B$17:$G$17</c:f>
            </c:strRef>
          </c:cat>
          <c:val>
            <c:numRef>
              <c:f>'14. KPI - Dashboard'!$B$23:$G$23</c:f>
              <c:numCache/>
            </c:numRef>
          </c:val>
        </c:ser>
        <c:axId val="1930416458"/>
        <c:axId val="2069091067"/>
      </c:barChart>
      <c:catAx>
        <c:axId val="1930416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69091067"/>
      </c:catAx>
      <c:valAx>
        <c:axId val="2069091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Nb 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041645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Taux de disponibilité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Disponibilité (%)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'14. KPI - Dashboard'!$B$17:$G$17</c:f>
            </c:strRef>
          </c:cat>
          <c:val>
            <c:numRef>
              <c:f>'14. KPI - Dashboard'!$B$31:$G$31</c:f>
              <c:numCache/>
            </c:numRef>
          </c:val>
          <c:smooth val="1"/>
        </c:ser>
        <c:axId val="1484949139"/>
        <c:axId val="1759826494"/>
      </c:lineChart>
      <c:catAx>
        <c:axId val="1484949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9826494"/>
      </c:catAx>
      <c:valAx>
        <c:axId val="1759826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49491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Charge de maintenance par atelier (h)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Heures maintenance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'14b. Dashboard atelier'!$A$6:$A$12</c:f>
            </c:strRef>
          </c:cat>
          <c:val>
            <c:numRef>
              <c:f>'14b. Dashboard atelier'!$F$6:$F$12</c:f>
              <c:numCache/>
            </c:numRef>
          </c:val>
        </c:ser>
        <c:axId val="57100857"/>
        <c:axId val="595858618"/>
      </c:barChart>
      <c:catAx>
        <c:axId val="57100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Atelier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95858618"/>
      </c:catAx>
      <c:valAx>
        <c:axId val="595858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Heures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1008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Coût de maintenance par atelier (MAD)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Coût (MAD)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'14b. Dashboard atelier'!$A$6:$A$12</c:f>
            </c:strRef>
          </c:cat>
          <c:val>
            <c:numRef>
              <c:f>'14b. Dashboard atelier'!$G$6:$G$12</c:f>
              <c:numCache/>
            </c:numRef>
          </c:val>
        </c:ser>
        <c:axId val="2027845439"/>
        <c:axId val="1532540601"/>
      </c:barChart>
      <c:catAx>
        <c:axId val="2027845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Atelier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2540601"/>
      </c:catAx>
      <c:valAx>
        <c:axId val="1532540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278454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3657600" cy="10239375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2828925" cy="8724900"/>
    <xdr:pic>
      <xdr:nvPicPr>
        <xdr:cNvPr descr="Picture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7277100" cy="1905000"/>
    <xdr:pic>
      <xdr:nvPicPr>
        <xdr:cNvPr descr="Picture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3790950" cy="9820275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83</xdr:row>
      <xdr:rowOff>0</xdr:rowOff>
    </xdr:from>
    <xdr:ext cx="2695575" cy="9401175"/>
    <xdr:pic>
      <xdr:nvPicPr>
        <xdr:cNvPr descr="Picture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38</xdr:row>
      <xdr:rowOff>38100</xdr:rowOff>
    </xdr:from>
    <xdr:ext cx="5124450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38</xdr:row>
      <xdr:rowOff>38100</xdr:rowOff>
    </xdr:from>
    <xdr:ext cx="513397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4810125" cy="2828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15</xdr:row>
      <xdr:rowOff>0</xdr:rowOff>
    </xdr:from>
    <xdr:ext cx="4791075" cy="2828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70.0"/>
    <col customWidth="1" min="4" max="4" width="18.0"/>
    <col customWidth="1" min="5" max="26" width="8.71"/>
  </cols>
  <sheetData>
    <row r="2" ht="39.75" customHeight="1">
      <c r="B2" s="1" t="s">
        <v>0</v>
      </c>
      <c r="C2" s="2"/>
      <c r="D2" s="3"/>
    </row>
    <row r="3" ht="21.75" customHeight="1">
      <c r="B3" s="4" t="s">
        <v>1</v>
      </c>
      <c r="C3" s="2"/>
      <c r="D3" s="3"/>
    </row>
    <row r="5" ht="24.0" customHeight="1">
      <c r="B5" s="5" t="s">
        <v>2</v>
      </c>
      <c r="C5" s="5" t="s">
        <v>3</v>
      </c>
      <c r="D5" s="5" t="s">
        <v>4</v>
      </c>
    </row>
    <row r="6" ht="24.0" customHeight="1">
      <c r="B6" s="6" t="s">
        <v>5</v>
      </c>
      <c r="C6" s="7" t="s">
        <v>6</v>
      </c>
      <c r="D6" s="8" t="s">
        <v>7</v>
      </c>
    </row>
    <row r="7" ht="24.0" customHeight="1">
      <c r="B7" s="9" t="s">
        <v>8</v>
      </c>
      <c r="C7" s="10" t="s">
        <v>9</v>
      </c>
      <c r="D7" s="11" t="s">
        <v>10</v>
      </c>
    </row>
    <row r="8" ht="24.0" customHeight="1">
      <c r="B8" s="6" t="s">
        <v>11</v>
      </c>
      <c r="C8" s="7" t="s">
        <v>12</v>
      </c>
      <c r="D8" s="8" t="s">
        <v>13</v>
      </c>
    </row>
    <row r="9" ht="24.0" customHeight="1">
      <c r="B9" s="9" t="s">
        <v>11</v>
      </c>
      <c r="C9" s="10" t="s">
        <v>14</v>
      </c>
      <c r="D9" s="11" t="s">
        <v>15</v>
      </c>
    </row>
    <row r="10" ht="24.0" customHeight="1">
      <c r="B10" s="6" t="s">
        <v>16</v>
      </c>
      <c r="C10" s="7" t="s">
        <v>17</v>
      </c>
      <c r="D10" s="8" t="s">
        <v>18</v>
      </c>
    </row>
    <row r="11" ht="24.0" customHeight="1">
      <c r="B11" s="9" t="s">
        <v>19</v>
      </c>
      <c r="C11" s="10" t="s">
        <v>20</v>
      </c>
      <c r="D11" s="11" t="s">
        <v>21</v>
      </c>
    </row>
    <row r="13" ht="19.5" customHeight="1">
      <c r="B13" s="12"/>
      <c r="C13" s="2"/>
      <c r="D13" s="3"/>
    </row>
    <row r="14" ht="117.75" customHeight="1">
      <c r="B14" s="13"/>
      <c r="C14" s="14"/>
      <c r="D14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B3:D3"/>
    <mergeCell ref="B13:D13"/>
    <mergeCell ref="B14:D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5.0"/>
    <col customWidth="1" min="4" max="4" width="22.0"/>
    <col customWidth="1" min="5" max="5" width="11.0"/>
    <col customWidth="1" min="6" max="25" width="8.71"/>
  </cols>
  <sheetData>
    <row r="1" ht="33.75" customHeight="1">
      <c r="A1" s="15" t="s">
        <v>22</v>
      </c>
      <c r="B1" s="2"/>
      <c r="C1" s="2"/>
      <c r="D1" s="2"/>
      <c r="E1" s="3"/>
    </row>
    <row r="2" ht="19.5" customHeight="1">
      <c r="A2" s="16" t="s">
        <v>23</v>
      </c>
      <c r="B2" s="2"/>
      <c r="C2" s="2"/>
      <c r="D2" s="2"/>
      <c r="E2" s="3"/>
    </row>
    <row r="4" ht="30.0" customHeight="1">
      <c r="A4" s="17" t="s">
        <v>24</v>
      </c>
      <c r="B4" s="17" t="s">
        <v>25</v>
      </c>
      <c r="C4" s="17" t="s">
        <v>26</v>
      </c>
      <c r="D4" s="17" t="s">
        <v>27</v>
      </c>
      <c r="E4" s="17" t="s">
        <v>28</v>
      </c>
    </row>
    <row r="5">
      <c r="A5" s="18" t="s">
        <v>29</v>
      </c>
      <c r="B5" s="19" t="s">
        <v>30</v>
      </c>
      <c r="C5" s="18" t="s">
        <v>31</v>
      </c>
      <c r="D5" s="19" t="s">
        <v>32</v>
      </c>
      <c r="E5" s="20" t="s">
        <v>33</v>
      </c>
    </row>
    <row r="6">
      <c r="A6" s="21" t="s">
        <v>34</v>
      </c>
      <c r="B6" s="22" t="s">
        <v>35</v>
      </c>
      <c r="C6" s="21" t="s">
        <v>31</v>
      </c>
      <c r="D6" s="22" t="s">
        <v>36</v>
      </c>
      <c r="E6" s="23" t="s">
        <v>37</v>
      </c>
    </row>
    <row r="7">
      <c r="A7" s="18" t="s">
        <v>38</v>
      </c>
      <c r="B7" s="19" t="s">
        <v>39</v>
      </c>
      <c r="C7" s="18" t="s">
        <v>31</v>
      </c>
      <c r="D7" s="19" t="s">
        <v>40</v>
      </c>
      <c r="E7" s="20" t="s">
        <v>33</v>
      </c>
    </row>
    <row r="8">
      <c r="A8" s="21" t="s">
        <v>41</v>
      </c>
      <c r="B8" s="22" t="s">
        <v>42</v>
      </c>
      <c r="C8" s="21" t="s">
        <v>43</v>
      </c>
      <c r="D8" s="22" t="s">
        <v>44</v>
      </c>
      <c r="E8" s="24" t="s">
        <v>45</v>
      </c>
    </row>
    <row r="9">
      <c r="A9" s="18" t="s">
        <v>46</v>
      </c>
      <c r="B9" s="19" t="s">
        <v>47</v>
      </c>
      <c r="C9" s="18" t="s">
        <v>43</v>
      </c>
      <c r="D9" s="19" t="s">
        <v>48</v>
      </c>
      <c r="E9" s="23" t="s">
        <v>37</v>
      </c>
    </row>
    <row r="10">
      <c r="A10" s="21" t="s">
        <v>49</v>
      </c>
      <c r="B10" s="22" t="s">
        <v>50</v>
      </c>
      <c r="C10" s="21" t="s">
        <v>51</v>
      </c>
      <c r="D10" s="22" t="s">
        <v>52</v>
      </c>
      <c r="E10" s="24" t="s">
        <v>45</v>
      </c>
    </row>
    <row r="11">
      <c r="A11" s="18" t="s">
        <v>53</v>
      </c>
      <c r="B11" s="19" t="s">
        <v>54</v>
      </c>
      <c r="C11" s="18" t="s">
        <v>51</v>
      </c>
      <c r="D11" s="19" t="s">
        <v>55</v>
      </c>
      <c r="E11" s="24" t="s">
        <v>45</v>
      </c>
    </row>
    <row r="12">
      <c r="A12" s="21" t="s">
        <v>56</v>
      </c>
      <c r="B12" s="22" t="s">
        <v>57</v>
      </c>
      <c r="C12" s="21" t="s">
        <v>58</v>
      </c>
      <c r="D12" s="22" t="s">
        <v>59</v>
      </c>
      <c r="E12" s="23" t="s">
        <v>37</v>
      </c>
    </row>
    <row r="13">
      <c r="A13" s="18" t="s">
        <v>60</v>
      </c>
      <c r="B13" s="19" t="s">
        <v>61</v>
      </c>
      <c r="C13" s="18" t="s">
        <v>58</v>
      </c>
      <c r="D13" s="19" t="s">
        <v>62</v>
      </c>
      <c r="E13" s="23" t="s">
        <v>37</v>
      </c>
    </row>
    <row r="14">
      <c r="A14" s="21" t="s">
        <v>63</v>
      </c>
      <c r="B14" s="22" t="s">
        <v>64</v>
      </c>
      <c r="C14" s="21" t="s">
        <v>65</v>
      </c>
      <c r="D14" s="22" t="s">
        <v>66</v>
      </c>
      <c r="E14" s="20" t="s">
        <v>33</v>
      </c>
    </row>
    <row r="15">
      <c r="A15" s="18" t="s">
        <v>67</v>
      </c>
      <c r="B15" s="19" t="s">
        <v>68</v>
      </c>
      <c r="C15" s="18" t="s">
        <v>65</v>
      </c>
      <c r="D15" s="19" t="s">
        <v>66</v>
      </c>
      <c r="E15" s="20" t="s">
        <v>33</v>
      </c>
    </row>
    <row r="16">
      <c r="A16" s="21" t="s">
        <v>69</v>
      </c>
      <c r="B16" s="22" t="s">
        <v>70</v>
      </c>
      <c r="C16" s="21" t="s">
        <v>71</v>
      </c>
      <c r="D16" s="22" t="s">
        <v>72</v>
      </c>
      <c r="E16" s="23" t="s">
        <v>37</v>
      </c>
    </row>
    <row r="17">
      <c r="A17" s="18" t="s">
        <v>73</v>
      </c>
      <c r="B17" s="19" t="s">
        <v>74</v>
      </c>
      <c r="C17" s="18" t="s">
        <v>75</v>
      </c>
      <c r="D17" s="19" t="s">
        <v>66</v>
      </c>
      <c r="E17" s="24" t="s">
        <v>45</v>
      </c>
    </row>
    <row r="18">
      <c r="A18" s="21" t="s">
        <v>76</v>
      </c>
      <c r="B18" s="22" t="s">
        <v>77</v>
      </c>
      <c r="C18" s="21" t="s">
        <v>75</v>
      </c>
      <c r="D18" s="22" t="s">
        <v>66</v>
      </c>
      <c r="E18" s="24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1.0"/>
    <col customWidth="1" min="2" max="2" width="20.0"/>
    <col customWidth="1" min="3" max="3" width="32.0"/>
    <col customWidth="1" min="4" max="4" width="13.0"/>
    <col customWidth="1" min="5" max="5" width="14.0"/>
    <col customWidth="1" min="6" max="6" width="11.0"/>
    <col customWidth="1" min="7" max="7" width="9.0"/>
    <col customWidth="1" min="8" max="8" width="13.0"/>
    <col customWidth="1" min="9" max="20" width="5.57"/>
    <col customWidth="1" min="21" max="21" width="8.0"/>
    <col customWidth="1" min="22" max="22" width="12.0"/>
    <col customWidth="1" min="23" max="26" width="8.71"/>
  </cols>
  <sheetData>
    <row r="1" ht="33.75" customHeight="1">
      <c r="A1" s="15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9.5" customHeight="1">
      <c r="A2" s="16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4" ht="33.75" customHeight="1">
      <c r="A4" s="17" t="s">
        <v>80</v>
      </c>
      <c r="B4" s="17" t="s">
        <v>25</v>
      </c>
      <c r="C4" s="17" t="s">
        <v>81</v>
      </c>
      <c r="D4" s="17" t="s">
        <v>82</v>
      </c>
      <c r="E4" s="17" t="s">
        <v>83</v>
      </c>
      <c r="F4" s="17" t="s">
        <v>84</v>
      </c>
      <c r="G4" s="17" t="s">
        <v>85</v>
      </c>
      <c r="H4" s="17" t="s">
        <v>86</v>
      </c>
      <c r="I4" s="17" t="s">
        <v>87</v>
      </c>
      <c r="J4" s="17" t="s">
        <v>88</v>
      </c>
      <c r="K4" s="17" t="s">
        <v>89</v>
      </c>
      <c r="L4" s="17" t="s">
        <v>90</v>
      </c>
      <c r="M4" s="17" t="s">
        <v>91</v>
      </c>
      <c r="N4" s="17" t="s">
        <v>92</v>
      </c>
      <c r="O4" s="17" t="s">
        <v>93</v>
      </c>
      <c r="P4" s="17" t="s">
        <v>94</v>
      </c>
      <c r="Q4" s="17" t="s">
        <v>95</v>
      </c>
      <c r="R4" s="17" t="s">
        <v>96</v>
      </c>
      <c r="S4" s="17" t="s">
        <v>97</v>
      </c>
      <c r="T4" s="17" t="s">
        <v>98</v>
      </c>
      <c r="U4" s="17" t="s">
        <v>99</v>
      </c>
      <c r="V4" s="17" t="s">
        <v>100</v>
      </c>
    </row>
    <row r="5">
      <c r="A5" s="18" t="s">
        <v>29</v>
      </c>
      <c r="B5" s="19" t="s">
        <v>101</v>
      </c>
      <c r="C5" s="19" t="s">
        <v>102</v>
      </c>
      <c r="D5" s="18" t="s">
        <v>103</v>
      </c>
      <c r="E5" s="18" t="s">
        <v>104</v>
      </c>
      <c r="F5" s="18" t="s">
        <v>105</v>
      </c>
      <c r="G5" s="25">
        <v>0.25</v>
      </c>
      <c r="H5" s="19" t="s">
        <v>106</v>
      </c>
      <c r="I5" s="26" t="s">
        <v>107</v>
      </c>
      <c r="J5" s="26" t="s">
        <v>107</v>
      </c>
      <c r="K5" s="26" t="s">
        <v>107</v>
      </c>
      <c r="L5" s="26" t="s">
        <v>107</v>
      </c>
      <c r="M5" s="26" t="s">
        <v>107</v>
      </c>
      <c r="N5" s="26" t="s">
        <v>107</v>
      </c>
      <c r="O5" s="26" t="s">
        <v>107</v>
      </c>
      <c r="P5" s="26" t="s">
        <v>107</v>
      </c>
      <c r="Q5" s="26" t="s">
        <v>107</v>
      </c>
      <c r="R5" s="26" t="s">
        <v>107</v>
      </c>
      <c r="S5" s="26" t="s">
        <v>107</v>
      </c>
      <c r="T5" s="26" t="s">
        <v>107</v>
      </c>
      <c r="U5" s="18">
        <f t="shared" ref="U5:U41" si="1">IF(E5="Hebdomadaire",48,IF(E5="Mensuel",12,IF(E5="Trimestriel",4,IF(E5="Semestriel",2,IF(E5="Annuel",1,0)))))</f>
        <v>48</v>
      </c>
      <c r="V5" s="25">
        <f t="shared" ref="V5:V41" si="2">U5*G5</f>
        <v>12</v>
      </c>
    </row>
    <row r="6">
      <c r="A6" s="21" t="s">
        <v>29</v>
      </c>
      <c r="B6" s="22" t="s">
        <v>101</v>
      </c>
      <c r="C6" s="22" t="s">
        <v>108</v>
      </c>
      <c r="D6" s="21" t="s">
        <v>109</v>
      </c>
      <c r="E6" s="21" t="s">
        <v>110</v>
      </c>
      <c r="F6" s="21" t="s">
        <v>111</v>
      </c>
      <c r="G6" s="27">
        <v>0.5</v>
      </c>
      <c r="H6" s="22" t="s">
        <v>106</v>
      </c>
      <c r="I6" s="26" t="s">
        <v>107</v>
      </c>
      <c r="J6" s="28"/>
      <c r="K6" s="28"/>
      <c r="L6" s="26" t="s">
        <v>107</v>
      </c>
      <c r="M6" s="28"/>
      <c r="N6" s="28"/>
      <c r="O6" s="26" t="s">
        <v>107</v>
      </c>
      <c r="P6" s="28"/>
      <c r="Q6" s="28"/>
      <c r="R6" s="26" t="s">
        <v>107</v>
      </c>
      <c r="S6" s="28"/>
      <c r="T6" s="28"/>
      <c r="U6" s="21">
        <f t="shared" si="1"/>
        <v>4</v>
      </c>
      <c r="V6" s="27">
        <f t="shared" si="2"/>
        <v>2</v>
      </c>
    </row>
    <row r="7">
      <c r="A7" s="18" t="s">
        <v>29</v>
      </c>
      <c r="B7" s="19" t="s">
        <v>101</v>
      </c>
      <c r="C7" s="19" t="s">
        <v>112</v>
      </c>
      <c r="D7" s="18" t="s">
        <v>113</v>
      </c>
      <c r="E7" s="18" t="s">
        <v>114</v>
      </c>
      <c r="F7" s="18" t="s">
        <v>115</v>
      </c>
      <c r="G7" s="25">
        <v>0.5</v>
      </c>
      <c r="H7" s="19" t="s">
        <v>106</v>
      </c>
      <c r="I7" s="26" t="s">
        <v>107</v>
      </c>
      <c r="J7" s="28"/>
      <c r="K7" s="28"/>
      <c r="L7" s="28"/>
      <c r="M7" s="28"/>
      <c r="N7" s="28"/>
      <c r="O7" s="26" t="s">
        <v>107</v>
      </c>
      <c r="P7" s="28"/>
      <c r="Q7" s="28"/>
      <c r="R7" s="28"/>
      <c r="S7" s="28"/>
      <c r="T7" s="28"/>
      <c r="U7" s="18">
        <f t="shared" si="1"/>
        <v>2</v>
      </c>
      <c r="V7" s="25">
        <f t="shared" si="2"/>
        <v>1</v>
      </c>
    </row>
    <row r="8">
      <c r="A8" s="21" t="s">
        <v>29</v>
      </c>
      <c r="B8" s="22" t="s">
        <v>101</v>
      </c>
      <c r="C8" s="22" t="s">
        <v>116</v>
      </c>
      <c r="D8" s="21" t="s">
        <v>117</v>
      </c>
      <c r="E8" s="21" t="s">
        <v>118</v>
      </c>
      <c r="F8" s="21" t="s">
        <v>119</v>
      </c>
      <c r="G8" s="27">
        <v>1.0</v>
      </c>
      <c r="H8" s="22" t="s">
        <v>106</v>
      </c>
      <c r="I8" s="28"/>
      <c r="J8" s="28"/>
      <c r="K8" s="28"/>
      <c r="L8" s="28"/>
      <c r="M8" s="28"/>
      <c r="N8" s="28"/>
      <c r="O8" s="28"/>
      <c r="P8" s="26" t="s">
        <v>107</v>
      </c>
      <c r="Q8" s="28"/>
      <c r="R8" s="28"/>
      <c r="S8" s="28"/>
      <c r="T8" s="28"/>
      <c r="U8" s="21">
        <f t="shared" si="1"/>
        <v>1</v>
      </c>
      <c r="V8" s="27">
        <f t="shared" si="2"/>
        <v>1</v>
      </c>
    </row>
    <row r="9">
      <c r="A9" s="18" t="s">
        <v>34</v>
      </c>
      <c r="B9" s="19" t="s">
        <v>120</v>
      </c>
      <c r="C9" s="19" t="s">
        <v>121</v>
      </c>
      <c r="D9" s="18" t="s">
        <v>103</v>
      </c>
      <c r="E9" s="18" t="s">
        <v>104</v>
      </c>
      <c r="F9" s="18" t="s">
        <v>105</v>
      </c>
      <c r="G9" s="25">
        <v>0.5</v>
      </c>
      <c r="H9" s="19" t="s">
        <v>106</v>
      </c>
      <c r="I9" s="26" t="s">
        <v>107</v>
      </c>
      <c r="J9" s="26" t="s">
        <v>107</v>
      </c>
      <c r="K9" s="26" t="s">
        <v>107</v>
      </c>
      <c r="L9" s="26" t="s">
        <v>107</v>
      </c>
      <c r="M9" s="26" t="s">
        <v>107</v>
      </c>
      <c r="N9" s="26" t="s">
        <v>107</v>
      </c>
      <c r="O9" s="26" t="s">
        <v>107</v>
      </c>
      <c r="P9" s="26" t="s">
        <v>107</v>
      </c>
      <c r="Q9" s="26" t="s">
        <v>107</v>
      </c>
      <c r="R9" s="26" t="s">
        <v>107</v>
      </c>
      <c r="S9" s="26" t="s">
        <v>107</v>
      </c>
      <c r="T9" s="26" t="s">
        <v>107</v>
      </c>
      <c r="U9" s="18">
        <f t="shared" si="1"/>
        <v>48</v>
      </c>
      <c r="V9" s="25">
        <f t="shared" si="2"/>
        <v>24</v>
      </c>
    </row>
    <row r="10">
      <c r="A10" s="21" t="s">
        <v>34</v>
      </c>
      <c r="B10" s="22" t="s">
        <v>120</v>
      </c>
      <c r="C10" s="22" t="s">
        <v>122</v>
      </c>
      <c r="D10" s="21" t="s">
        <v>109</v>
      </c>
      <c r="E10" s="21" t="s">
        <v>110</v>
      </c>
      <c r="F10" s="21" t="s">
        <v>111</v>
      </c>
      <c r="G10" s="27">
        <v>1.0</v>
      </c>
      <c r="H10" s="22" t="s">
        <v>106</v>
      </c>
      <c r="I10" s="26" t="s">
        <v>107</v>
      </c>
      <c r="J10" s="28"/>
      <c r="K10" s="28"/>
      <c r="L10" s="26" t="s">
        <v>107</v>
      </c>
      <c r="M10" s="28"/>
      <c r="N10" s="28"/>
      <c r="O10" s="26" t="s">
        <v>107</v>
      </c>
      <c r="P10" s="28"/>
      <c r="Q10" s="28"/>
      <c r="R10" s="26" t="s">
        <v>107</v>
      </c>
      <c r="S10" s="28"/>
      <c r="T10" s="28"/>
      <c r="U10" s="21">
        <f t="shared" si="1"/>
        <v>4</v>
      </c>
      <c r="V10" s="27">
        <f t="shared" si="2"/>
        <v>4</v>
      </c>
    </row>
    <row r="11">
      <c r="A11" s="18" t="s">
        <v>38</v>
      </c>
      <c r="B11" s="19" t="s">
        <v>123</v>
      </c>
      <c r="C11" s="19" t="s">
        <v>124</v>
      </c>
      <c r="D11" s="18" t="s">
        <v>103</v>
      </c>
      <c r="E11" s="18" t="s">
        <v>125</v>
      </c>
      <c r="F11" s="18" t="s">
        <v>126</v>
      </c>
      <c r="G11" s="25">
        <v>0.5</v>
      </c>
      <c r="H11" s="19" t="s">
        <v>106</v>
      </c>
      <c r="I11" s="26" t="s">
        <v>107</v>
      </c>
      <c r="J11" s="26" t="s">
        <v>107</v>
      </c>
      <c r="K11" s="26" t="s">
        <v>107</v>
      </c>
      <c r="L11" s="26" t="s">
        <v>107</v>
      </c>
      <c r="M11" s="26" t="s">
        <v>107</v>
      </c>
      <c r="N11" s="26" t="s">
        <v>107</v>
      </c>
      <c r="O11" s="26" t="s">
        <v>107</v>
      </c>
      <c r="P11" s="26" t="s">
        <v>107</v>
      </c>
      <c r="Q11" s="26" t="s">
        <v>107</v>
      </c>
      <c r="R11" s="26" t="s">
        <v>107</v>
      </c>
      <c r="S11" s="26" t="s">
        <v>107</v>
      </c>
      <c r="T11" s="26" t="s">
        <v>107</v>
      </c>
      <c r="U11" s="18">
        <f t="shared" si="1"/>
        <v>12</v>
      </c>
      <c r="V11" s="25">
        <f t="shared" si="2"/>
        <v>6</v>
      </c>
    </row>
    <row r="12">
      <c r="A12" s="21" t="s">
        <v>38</v>
      </c>
      <c r="B12" s="22" t="s">
        <v>123</v>
      </c>
      <c r="C12" s="22" t="s">
        <v>127</v>
      </c>
      <c r="D12" s="21" t="s">
        <v>117</v>
      </c>
      <c r="E12" s="21" t="s">
        <v>110</v>
      </c>
      <c r="F12" s="21" t="s">
        <v>128</v>
      </c>
      <c r="G12" s="27">
        <v>0.5</v>
      </c>
      <c r="H12" s="22" t="s">
        <v>106</v>
      </c>
      <c r="I12" s="26" t="s">
        <v>107</v>
      </c>
      <c r="J12" s="28"/>
      <c r="K12" s="28"/>
      <c r="L12" s="26" t="s">
        <v>107</v>
      </c>
      <c r="M12" s="28"/>
      <c r="N12" s="28"/>
      <c r="O12" s="26" t="s">
        <v>107</v>
      </c>
      <c r="P12" s="28"/>
      <c r="Q12" s="28"/>
      <c r="R12" s="26" t="s">
        <v>107</v>
      </c>
      <c r="S12" s="28"/>
      <c r="T12" s="28"/>
      <c r="U12" s="21">
        <f t="shared" si="1"/>
        <v>4</v>
      </c>
      <c r="V12" s="27">
        <f t="shared" si="2"/>
        <v>2</v>
      </c>
    </row>
    <row r="13">
      <c r="A13" s="18" t="s">
        <v>38</v>
      </c>
      <c r="B13" s="19" t="s">
        <v>123</v>
      </c>
      <c r="C13" s="19" t="s">
        <v>129</v>
      </c>
      <c r="D13" s="18" t="s">
        <v>113</v>
      </c>
      <c r="E13" s="18" t="s">
        <v>114</v>
      </c>
      <c r="F13" s="18" t="s">
        <v>130</v>
      </c>
      <c r="G13" s="25">
        <v>0.75</v>
      </c>
      <c r="H13" s="19" t="s">
        <v>106</v>
      </c>
      <c r="I13" s="26" t="s">
        <v>107</v>
      </c>
      <c r="J13" s="28"/>
      <c r="K13" s="28"/>
      <c r="L13" s="28"/>
      <c r="M13" s="28"/>
      <c r="N13" s="28"/>
      <c r="O13" s="26" t="s">
        <v>107</v>
      </c>
      <c r="P13" s="28"/>
      <c r="Q13" s="28"/>
      <c r="R13" s="28"/>
      <c r="S13" s="28"/>
      <c r="T13" s="28"/>
      <c r="U13" s="18">
        <f t="shared" si="1"/>
        <v>2</v>
      </c>
      <c r="V13" s="25">
        <f t="shared" si="2"/>
        <v>1.5</v>
      </c>
    </row>
    <row r="14">
      <c r="A14" s="21" t="s">
        <v>41</v>
      </c>
      <c r="B14" s="22" t="s">
        <v>131</v>
      </c>
      <c r="C14" s="22" t="s">
        <v>132</v>
      </c>
      <c r="D14" s="21" t="s">
        <v>103</v>
      </c>
      <c r="E14" s="21" t="s">
        <v>104</v>
      </c>
      <c r="F14" s="21" t="s">
        <v>133</v>
      </c>
      <c r="G14" s="27">
        <v>0.5</v>
      </c>
      <c r="H14" s="22" t="s">
        <v>106</v>
      </c>
      <c r="I14" s="26" t="s">
        <v>107</v>
      </c>
      <c r="J14" s="26" t="s">
        <v>107</v>
      </c>
      <c r="K14" s="26" t="s">
        <v>107</v>
      </c>
      <c r="L14" s="26" t="s">
        <v>107</v>
      </c>
      <c r="M14" s="26" t="s">
        <v>107</v>
      </c>
      <c r="N14" s="26" t="s">
        <v>107</v>
      </c>
      <c r="O14" s="26" t="s">
        <v>107</v>
      </c>
      <c r="P14" s="26" t="s">
        <v>107</v>
      </c>
      <c r="Q14" s="26" t="s">
        <v>107</v>
      </c>
      <c r="R14" s="26" t="s">
        <v>107</v>
      </c>
      <c r="S14" s="26" t="s">
        <v>107</v>
      </c>
      <c r="T14" s="26" t="s">
        <v>107</v>
      </c>
      <c r="U14" s="21">
        <f t="shared" si="1"/>
        <v>48</v>
      </c>
      <c r="V14" s="27">
        <f t="shared" si="2"/>
        <v>24</v>
      </c>
    </row>
    <row r="15">
      <c r="A15" s="18" t="s">
        <v>41</v>
      </c>
      <c r="B15" s="19" t="s">
        <v>131</v>
      </c>
      <c r="C15" s="19" t="s">
        <v>134</v>
      </c>
      <c r="D15" s="18" t="s">
        <v>109</v>
      </c>
      <c r="E15" s="18" t="s">
        <v>125</v>
      </c>
      <c r="F15" s="18" t="s">
        <v>135</v>
      </c>
      <c r="G15" s="25">
        <v>0.5</v>
      </c>
      <c r="H15" s="19" t="s">
        <v>106</v>
      </c>
      <c r="I15" s="26" t="s">
        <v>107</v>
      </c>
      <c r="J15" s="26" t="s">
        <v>107</v>
      </c>
      <c r="K15" s="26" t="s">
        <v>107</v>
      </c>
      <c r="L15" s="26" t="s">
        <v>107</v>
      </c>
      <c r="M15" s="26" t="s">
        <v>107</v>
      </c>
      <c r="N15" s="26" t="s">
        <v>107</v>
      </c>
      <c r="O15" s="26" t="s">
        <v>107</v>
      </c>
      <c r="P15" s="26" t="s">
        <v>107</v>
      </c>
      <c r="Q15" s="26" t="s">
        <v>107</v>
      </c>
      <c r="R15" s="26" t="s">
        <v>107</v>
      </c>
      <c r="S15" s="26" t="s">
        <v>107</v>
      </c>
      <c r="T15" s="26" t="s">
        <v>107</v>
      </c>
      <c r="U15" s="18">
        <f t="shared" si="1"/>
        <v>12</v>
      </c>
      <c r="V15" s="25">
        <f t="shared" si="2"/>
        <v>6</v>
      </c>
    </row>
    <row r="16">
      <c r="A16" s="21" t="s">
        <v>41</v>
      </c>
      <c r="B16" s="22" t="s">
        <v>131</v>
      </c>
      <c r="C16" s="22" t="s">
        <v>136</v>
      </c>
      <c r="D16" s="21" t="s">
        <v>103</v>
      </c>
      <c r="E16" s="21" t="s">
        <v>125</v>
      </c>
      <c r="F16" s="21" t="s">
        <v>137</v>
      </c>
      <c r="G16" s="27">
        <v>0.5</v>
      </c>
      <c r="H16" s="22" t="s">
        <v>106</v>
      </c>
      <c r="I16" s="26" t="s">
        <v>107</v>
      </c>
      <c r="J16" s="26" t="s">
        <v>107</v>
      </c>
      <c r="K16" s="26" t="s">
        <v>107</v>
      </c>
      <c r="L16" s="26" t="s">
        <v>107</v>
      </c>
      <c r="M16" s="26" t="s">
        <v>107</v>
      </c>
      <c r="N16" s="26" t="s">
        <v>107</v>
      </c>
      <c r="O16" s="26" t="s">
        <v>107</v>
      </c>
      <c r="P16" s="26" t="s">
        <v>107</v>
      </c>
      <c r="Q16" s="26" t="s">
        <v>107</v>
      </c>
      <c r="R16" s="26" t="s">
        <v>107</v>
      </c>
      <c r="S16" s="26" t="s">
        <v>107</v>
      </c>
      <c r="T16" s="26" t="s">
        <v>107</v>
      </c>
      <c r="U16" s="21">
        <f t="shared" si="1"/>
        <v>12</v>
      </c>
      <c r="V16" s="27">
        <f t="shared" si="2"/>
        <v>6</v>
      </c>
    </row>
    <row r="17">
      <c r="A17" s="18" t="s">
        <v>41</v>
      </c>
      <c r="B17" s="19" t="s">
        <v>131</v>
      </c>
      <c r="C17" s="19" t="s">
        <v>138</v>
      </c>
      <c r="D17" s="18" t="s">
        <v>109</v>
      </c>
      <c r="E17" s="18" t="s">
        <v>114</v>
      </c>
      <c r="F17" s="18" t="s">
        <v>139</v>
      </c>
      <c r="G17" s="25">
        <v>1.5</v>
      </c>
      <c r="H17" s="19" t="s">
        <v>140</v>
      </c>
      <c r="I17" s="26" t="s">
        <v>107</v>
      </c>
      <c r="J17" s="28"/>
      <c r="K17" s="28"/>
      <c r="L17" s="28"/>
      <c r="M17" s="28"/>
      <c r="N17" s="28"/>
      <c r="O17" s="26" t="s">
        <v>107</v>
      </c>
      <c r="P17" s="28"/>
      <c r="Q17" s="28"/>
      <c r="R17" s="28"/>
      <c r="S17" s="28"/>
      <c r="T17" s="28"/>
      <c r="U17" s="18">
        <f t="shared" si="1"/>
        <v>2</v>
      </c>
      <c r="V17" s="25">
        <f t="shared" si="2"/>
        <v>3</v>
      </c>
    </row>
    <row r="18">
      <c r="A18" s="21" t="s">
        <v>41</v>
      </c>
      <c r="B18" s="22" t="s">
        <v>131</v>
      </c>
      <c r="C18" s="22" t="s">
        <v>141</v>
      </c>
      <c r="D18" s="21" t="s">
        <v>113</v>
      </c>
      <c r="E18" s="21" t="s">
        <v>118</v>
      </c>
      <c r="F18" s="21" t="s">
        <v>142</v>
      </c>
      <c r="G18" s="27">
        <v>1.0</v>
      </c>
      <c r="H18" s="22" t="s">
        <v>140</v>
      </c>
      <c r="I18" s="28"/>
      <c r="J18" s="28"/>
      <c r="K18" s="28"/>
      <c r="L18" s="28"/>
      <c r="M18" s="28"/>
      <c r="N18" s="28"/>
      <c r="O18" s="28"/>
      <c r="P18" s="26" t="s">
        <v>107</v>
      </c>
      <c r="Q18" s="28"/>
      <c r="R18" s="28"/>
      <c r="S18" s="28"/>
      <c r="T18" s="28"/>
      <c r="U18" s="21">
        <f t="shared" si="1"/>
        <v>1</v>
      </c>
      <c r="V18" s="27">
        <f t="shared" si="2"/>
        <v>1</v>
      </c>
    </row>
    <row r="19">
      <c r="A19" s="18" t="s">
        <v>46</v>
      </c>
      <c r="B19" s="19" t="s">
        <v>143</v>
      </c>
      <c r="C19" s="19" t="s">
        <v>144</v>
      </c>
      <c r="D19" s="18" t="s">
        <v>103</v>
      </c>
      <c r="E19" s="18" t="s">
        <v>125</v>
      </c>
      <c r="F19" s="18" t="s">
        <v>145</v>
      </c>
      <c r="G19" s="25">
        <v>0.25</v>
      </c>
      <c r="H19" s="19" t="s">
        <v>106</v>
      </c>
      <c r="I19" s="26" t="s">
        <v>107</v>
      </c>
      <c r="J19" s="26" t="s">
        <v>107</v>
      </c>
      <c r="K19" s="26" t="s">
        <v>107</v>
      </c>
      <c r="L19" s="26" t="s">
        <v>107</v>
      </c>
      <c r="M19" s="26" t="s">
        <v>107</v>
      </c>
      <c r="N19" s="26" t="s">
        <v>107</v>
      </c>
      <c r="O19" s="26" t="s">
        <v>107</v>
      </c>
      <c r="P19" s="26" t="s">
        <v>107</v>
      </c>
      <c r="Q19" s="26" t="s">
        <v>107</v>
      </c>
      <c r="R19" s="26" t="s">
        <v>107</v>
      </c>
      <c r="S19" s="26" t="s">
        <v>107</v>
      </c>
      <c r="T19" s="26" t="s">
        <v>107</v>
      </c>
      <c r="U19" s="18">
        <f t="shared" si="1"/>
        <v>12</v>
      </c>
      <c r="V19" s="25">
        <f t="shared" si="2"/>
        <v>3</v>
      </c>
    </row>
    <row r="20">
      <c r="A20" s="21" t="s">
        <v>46</v>
      </c>
      <c r="B20" s="22" t="s">
        <v>143</v>
      </c>
      <c r="C20" s="22" t="s">
        <v>146</v>
      </c>
      <c r="D20" s="21" t="s">
        <v>113</v>
      </c>
      <c r="E20" s="21" t="s">
        <v>114</v>
      </c>
      <c r="F20" s="21" t="s">
        <v>147</v>
      </c>
      <c r="G20" s="27">
        <v>0.25</v>
      </c>
      <c r="H20" s="22" t="s">
        <v>106</v>
      </c>
      <c r="I20" s="26" t="s">
        <v>107</v>
      </c>
      <c r="J20" s="28"/>
      <c r="K20" s="28"/>
      <c r="L20" s="28"/>
      <c r="M20" s="28"/>
      <c r="N20" s="28"/>
      <c r="O20" s="26" t="s">
        <v>107</v>
      </c>
      <c r="P20" s="28"/>
      <c r="Q20" s="28"/>
      <c r="R20" s="28"/>
      <c r="S20" s="28"/>
      <c r="T20" s="28"/>
      <c r="U20" s="21">
        <f t="shared" si="1"/>
        <v>2</v>
      </c>
      <c r="V20" s="27">
        <f t="shared" si="2"/>
        <v>0.5</v>
      </c>
    </row>
    <row r="21" ht="15.75" customHeight="1">
      <c r="A21" s="18" t="s">
        <v>49</v>
      </c>
      <c r="B21" s="19" t="s">
        <v>148</v>
      </c>
      <c r="C21" s="19" t="s">
        <v>149</v>
      </c>
      <c r="D21" s="18" t="s">
        <v>103</v>
      </c>
      <c r="E21" s="18" t="s">
        <v>104</v>
      </c>
      <c r="F21" s="18" t="s">
        <v>150</v>
      </c>
      <c r="G21" s="25">
        <v>0.5</v>
      </c>
      <c r="H21" s="19" t="s">
        <v>106</v>
      </c>
      <c r="I21" s="26" t="s">
        <v>107</v>
      </c>
      <c r="J21" s="26" t="s">
        <v>107</v>
      </c>
      <c r="K21" s="26" t="s">
        <v>107</v>
      </c>
      <c r="L21" s="26" t="s">
        <v>107</v>
      </c>
      <c r="M21" s="26" t="s">
        <v>107</v>
      </c>
      <c r="N21" s="26" t="s">
        <v>107</v>
      </c>
      <c r="O21" s="26" t="s">
        <v>107</v>
      </c>
      <c r="P21" s="26" t="s">
        <v>107</v>
      </c>
      <c r="Q21" s="26" t="s">
        <v>107</v>
      </c>
      <c r="R21" s="26" t="s">
        <v>107</v>
      </c>
      <c r="S21" s="26" t="s">
        <v>107</v>
      </c>
      <c r="T21" s="26" t="s">
        <v>107</v>
      </c>
      <c r="U21" s="18">
        <f t="shared" si="1"/>
        <v>48</v>
      </c>
      <c r="V21" s="25">
        <f t="shared" si="2"/>
        <v>24</v>
      </c>
    </row>
    <row r="22" ht="15.75" customHeight="1">
      <c r="A22" s="21" t="s">
        <v>49</v>
      </c>
      <c r="B22" s="22" t="s">
        <v>148</v>
      </c>
      <c r="C22" s="22" t="s">
        <v>151</v>
      </c>
      <c r="D22" s="21" t="s">
        <v>152</v>
      </c>
      <c r="E22" s="21" t="s">
        <v>125</v>
      </c>
      <c r="F22" s="21" t="s">
        <v>153</v>
      </c>
      <c r="G22" s="27">
        <v>0.5</v>
      </c>
      <c r="H22" s="22" t="s">
        <v>106</v>
      </c>
      <c r="I22" s="26" t="s">
        <v>107</v>
      </c>
      <c r="J22" s="26" t="s">
        <v>107</v>
      </c>
      <c r="K22" s="26" t="s">
        <v>107</v>
      </c>
      <c r="L22" s="26" t="s">
        <v>107</v>
      </c>
      <c r="M22" s="26" t="s">
        <v>107</v>
      </c>
      <c r="N22" s="26" t="s">
        <v>107</v>
      </c>
      <c r="O22" s="26" t="s">
        <v>107</v>
      </c>
      <c r="P22" s="26" t="s">
        <v>107</v>
      </c>
      <c r="Q22" s="26" t="s">
        <v>107</v>
      </c>
      <c r="R22" s="26" t="s">
        <v>107</v>
      </c>
      <c r="S22" s="26" t="s">
        <v>107</v>
      </c>
      <c r="T22" s="26" t="s">
        <v>107</v>
      </c>
      <c r="U22" s="21">
        <f t="shared" si="1"/>
        <v>12</v>
      </c>
      <c r="V22" s="27">
        <f t="shared" si="2"/>
        <v>6</v>
      </c>
    </row>
    <row r="23" ht="15.75" customHeight="1">
      <c r="A23" s="18" t="s">
        <v>49</v>
      </c>
      <c r="B23" s="19" t="s">
        <v>148</v>
      </c>
      <c r="C23" s="19" t="s">
        <v>154</v>
      </c>
      <c r="D23" s="18" t="s">
        <v>109</v>
      </c>
      <c r="E23" s="18" t="s">
        <v>110</v>
      </c>
      <c r="F23" s="18" t="s">
        <v>155</v>
      </c>
      <c r="G23" s="25">
        <v>1.0</v>
      </c>
      <c r="H23" s="19" t="s">
        <v>106</v>
      </c>
      <c r="I23" s="26" t="s">
        <v>107</v>
      </c>
      <c r="J23" s="28"/>
      <c r="K23" s="28"/>
      <c r="L23" s="26" t="s">
        <v>107</v>
      </c>
      <c r="M23" s="28"/>
      <c r="N23" s="28"/>
      <c r="O23" s="26" t="s">
        <v>107</v>
      </c>
      <c r="P23" s="28"/>
      <c r="Q23" s="28"/>
      <c r="R23" s="26" t="s">
        <v>107</v>
      </c>
      <c r="S23" s="28"/>
      <c r="T23" s="28"/>
      <c r="U23" s="18">
        <f t="shared" si="1"/>
        <v>4</v>
      </c>
      <c r="V23" s="25">
        <f t="shared" si="2"/>
        <v>4</v>
      </c>
    </row>
    <row r="24" ht="15.75" customHeight="1">
      <c r="A24" s="21" t="s">
        <v>49</v>
      </c>
      <c r="B24" s="22" t="s">
        <v>148</v>
      </c>
      <c r="C24" s="22" t="s">
        <v>156</v>
      </c>
      <c r="D24" s="21" t="s">
        <v>157</v>
      </c>
      <c r="E24" s="21" t="s">
        <v>118</v>
      </c>
      <c r="F24" s="21" t="s">
        <v>158</v>
      </c>
      <c r="G24" s="27">
        <v>3.0</v>
      </c>
      <c r="H24" s="22" t="s">
        <v>140</v>
      </c>
      <c r="I24" s="28"/>
      <c r="J24" s="28"/>
      <c r="K24" s="28"/>
      <c r="L24" s="28"/>
      <c r="M24" s="28"/>
      <c r="N24" s="28"/>
      <c r="O24" s="28"/>
      <c r="P24" s="26" t="s">
        <v>107</v>
      </c>
      <c r="Q24" s="28"/>
      <c r="R24" s="28"/>
      <c r="S24" s="28"/>
      <c r="T24" s="28"/>
      <c r="U24" s="21">
        <f t="shared" si="1"/>
        <v>1</v>
      </c>
      <c r="V24" s="27">
        <f t="shared" si="2"/>
        <v>3</v>
      </c>
    </row>
    <row r="25" ht="15.75" customHeight="1">
      <c r="A25" s="18" t="s">
        <v>53</v>
      </c>
      <c r="B25" s="19" t="s">
        <v>54</v>
      </c>
      <c r="C25" s="19" t="s">
        <v>159</v>
      </c>
      <c r="D25" s="18" t="s">
        <v>103</v>
      </c>
      <c r="E25" s="18" t="s">
        <v>104</v>
      </c>
      <c r="F25" s="18" t="s">
        <v>150</v>
      </c>
      <c r="G25" s="25">
        <v>0.5</v>
      </c>
      <c r="H25" s="19" t="s">
        <v>106</v>
      </c>
      <c r="I25" s="26" t="s">
        <v>107</v>
      </c>
      <c r="J25" s="26" t="s">
        <v>107</v>
      </c>
      <c r="K25" s="26" t="s">
        <v>107</v>
      </c>
      <c r="L25" s="26" t="s">
        <v>107</v>
      </c>
      <c r="M25" s="26" t="s">
        <v>107</v>
      </c>
      <c r="N25" s="26" t="s">
        <v>107</v>
      </c>
      <c r="O25" s="26" t="s">
        <v>107</v>
      </c>
      <c r="P25" s="26" t="s">
        <v>107</v>
      </c>
      <c r="Q25" s="26" t="s">
        <v>107</v>
      </c>
      <c r="R25" s="26" t="s">
        <v>107</v>
      </c>
      <c r="S25" s="26" t="s">
        <v>107</v>
      </c>
      <c r="T25" s="26" t="s">
        <v>107</v>
      </c>
      <c r="U25" s="18">
        <f t="shared" si="1"/>
        <v>48</v>
      </c>
      <c r="V25" s="25">
        <f t="shared" si="2"/>
        <v>24</v>
      </c>
    </row>
    <row r="26" ht="15.75" customHeight="1">
      <c r="A26" s="21" t="s">
        <v>53</v>
      </c>
      <c r="B26" s="22" t="s">
        <v>54</v>
      </c>
      <c r="C26" s="22" t="s">
        <v>160</v>
      </c>
      <c r="D26" s="21" t="s">
        <v>152</v>
      </c>
      <c r="E26" s="21" t="s">
        <v>125</v>
      </c>
      <c r="F26" s="21" t="s">
        <v>153</v>
      </c>
      <c r="G26" s="27">
        <v>0.75</v>
      </c>
      <c r="H26" s="22" t="s">
        <v>106</v>
      </c>
      <c r="I26" s="26" t="s">
        <v>107</v>
      </c>
      <c r="J26" s="26" t="s">
        <v>107</v>
      </c>
      <c r="K26" s="26" t="s">
        <v>107</v>
      </c>
      <c r="L26" s="26" t="s">
        <v>107</v>
      </c>
      <c r="M26" s="26" t="s">
        <v>107</v>
      </c>
      <c r="N26" s="26" t="s">
        <v>107</v>
      </c>
      <c r="O26" s="26" t="s">
        <v>107</v>
      </c>
      <c r="P26" s="26" t="s">
        <v>107</v>
      </c>
      <c r="Q26" s="26" t="s">
        <v>107</v>
      </c>
      <c r="R26" s="26" t="s">
        <v>107</v>
      </c>
      <c r="S26" s="26" t="s">
        <v>107</v>
      </c>
      <c r="T26" s="26" t="s">
        <v>107</v>
      </c>
      <c r="U26" s="21">
        <f t="shared" si="1"/>
        <v>12</v>
      </c>
      <c r="V26" s="27">
        <f t="shared" si="2"/>
        <v>9</v>
      </c>
    </row>
    <row r="27" ht="15.75" customHeight="1">
      <c r="A27" s="18" t="s">
        <v>53</v>
      </c>
      <c r="B27" s="19" t="s">
        <v>54</v>
      </c>
      <c r="C27" s="19" t="s">
        <v>161</v>
      </c>
      <c r="D27" s="18" t="s">
        <v>157</v>
      </c>
      <c r="E27" s="18" t="s">
        <v>118</v>
      </c>
      <c r="F27" s="18" t="s">
        <v>158</v>
      </c>
      <c r="G27" s="25">
        <v>3.0</v>
      </c>
      <c r="H27" s="19" t="s">
        <v>140</v>
      </c>
      <c r="I27" s="28"/>
      <c r="J27" s="28"/>
      <c r="K27" s="28"/>
      <c r="L27" s="28"/>
      <c r="M27" s="28"/>
      <c r="N27" s="28"/>
      <c r="O27" s="28"/>
      <c r="P27" s="26" t="s">
        <v>107</v>
      </c>
      <c r="Q27" s="28"/>
      <c r="R27" s="28"/>
      <c r="S27" s="28"/>
      <c r="T27" s="28"/>
      <c r="U27" s="18">
        <f t="shared" si="1"/>
        <v>1</v>
      </c>
      <c r="V27" s="25">
        <f t="shared" si="2"/>
        <v>3</v>
      </c>
    </row>
    <row r="28" ht="15.75" customHeight="1">
      <c r="A28" s="21" t="s">
        <v>56</v>
      </c>
      <c r="B28" s="22" t="s">
        <v>162</v>
      </c>
      <c r="C28" s="22" t="s">
        <v>163</v>
      </c>
      <c r="D28" s="21" t="s">
        <v>103</v>
      </c>
      <c r="E28" s="21" t="s">
        <v>125</v>
      </c>
      <c r="F28" s="21" t="s">
        <v>164</v>
      </c>
      <c r="G28" s="27">
        <v>0.25</v>
      </c>
      <c r="H28" s="22" t="s">
        <v>106</v>
      </c>
      <c r="I28" s="26" t="s">
        <v>107</v>
      </c>
      <c r="J28" s="26" t="s">
        <v>107</v>
      </c>
      <c r="K28" s="26" t="s">
        <v>107</v>
      </c>
      <c r="L28" s="26" t="s">
        <v>107</v>
      </c>
      <c r="M28" s="26" t="s">
        <v>107</v>
      </c>
      <c r="N28" s="26" t="s">
        <v>107</v>
      </c>
      <c r="O28" s="26" t="s">
        <v>107</v>
      </c>
      <c r="P28" s="26" t="s">
        <v>107</v>
      </c>
      <c r="Q28" s="26" t="s">
        <v>107</v>
      </c>
      <c r="R28" s="26" t="s">
        <v>107</v>
      </c>
      <c r="S28" s="26" t="s">
        <v>107</v>
      </c>
      <c r="T28" s="26" t="s">
        <v>107</v>
      </c>
      <c r="U28" s="21">
        <f t="shared" si="1"/>
        <v>12</v>
      </c>
      <c r="V28" s="27">
        <f t="shared" si="2"/>
        <v>3</v>
      </c>
    </row>
    <row r="29" ht="15.75" customHeight="1">
      <c r="A29" s="18" t="s">
        <v>56</v>
      </c>
      <c r="B29" s="19" t="s">
        <v>162</v>
      </c>
      <c r="C29" s="19" t="s">
        <v>165</v>
      </c>
      <c r="D29" s="18" t="s">
        <v>117</v>
      </c>
      <c r="E29" s="18" t="s">
        <v>118</v>
      </c>
      <c r="F29" s="18" t="s">
        <v>166</v>
      </c>
      <c r="G29" s="25">
        <v>0.5</v>
      </c>
      <c r="H29" s="19" t="s">
        <v>106</v>
      </c>
      <c r="I29" s="28"/>
      <c r="J29" s="28"/>
      <c r="K29" s="28"/>
      <c r="L29" s="28"/>
      <c r="M29" s="28"/>
      <c r="N29" s="28"/>
      <c r="O29" s="28"/>
      <c r="P29" s="26" t="s">
        <v>107</v>
      </c>
      <c r="Q29" s="28"/>
      <c r="R29" s="28"/>
      <c r="S29" s="28"/>
      <c r="T29" s="28"/>
      <c r="U29" s="18">
        <f t="shared" si="1"/>
        <v>1</v>
      </c>
      <c r="V29" s="25">
        <f t="shared" si="2"/>
        <v>0.5</v>
      </c>
    </row>
    <row r="30" ht="15.75" customHeight="1">
      <c r="A30" s="21" t="s">
        <v>60</v>
      </c>
      <c r="B30" s="22" t="s">
        <v>167</v>
      </c>
      <c r="C30" s="22" t="s">
        <v>168</v>
      </c>
      <c r="D30" s="21" t="s">
        <v>117</v>
      </c>
      <c r="E30" s="21" t="s">
        <v>118</v>
      </c>
      <c r="F30" s="21" t="s">
        <v>169</v>
      </c>
      <c r="G30" s="27">
        <v>1.0</v>
      </c>
      <c r="H30" s="22" t="s">
        <v>140</v>
      </c>
      <c r="I30" s="28"/>
      <c r="J30" s="28"/>
      <c r="K30" s="28"/>
      <c r="L30" s="28"/>
      <c r="M30" s="28"/>
      <c r="N30" s="28"/>
      <c r="O30" s="28"/>
      <c r="P30" s="26" t="s">
        <v>107</v>
      </c>
      <c r="Q30" s="28"/>
      <c r="R30" s="28"/>
      <c r="S30" s="28"/>
      <c r="T30" s="28"/>
      <c r="U30" s="21">
        <f t="shared" si="1"/>
        <v>1</v>
      </c>
      <c r="V30" s="27">
        <f t="shared" si="2"/>
        <v>1</v>
      </c>
    </row>
    <row r="31" ht="15.75" customHeight="1">
      <c r="A31" s="18" t="s">
        <v>63</v>
      </c>
      <c r="B31" s="19" t="s">
        <v>64</v>
      </c>
      <c r="C31" s="19" t="s">
        <v>170</v>
      </c>
      <c r="D31" s="18" t="s">
        <v>152</v>
      </c>
      <c r="E31" s="18" t="s">
        <v>110</v>
      </c>
      <c r="F31" s="18" t="s">
        <v>171</v>
      </c>
      <c r="G31" s="25">
        <v>0.5</v>
      </c>
      <c r="H31" s="19" t="s">
        <v>106</v>
      </c>
      <c r="I31" s="26" t="s">
        <v>107</v>
      </c>
      <c r="J31" s="28"/>
      <c r="K31" s="28"/>
      <c r="L31" s="26" t="s">
        <v>107</v>
      </c>
      <c r="M31" s="28"/>
      <c r="N31" s="28"/>
      <c r="O31" s="26" t="s">
        <v>107</v>
      </c>
      <c r="P31" s="28"/>
      <c r="Q31" s="28"/>
      <c r="R31" s="26" t="s">
        <v>107</v>
      </c>
      <c r="S31" s="28"/>
      <c r="T31" s="28"/>
      <c r="U31" s="18">
        <f t="shared" si="1"/>
        <v>4</v>
      </c>
      <c r="V31" s="25">
        <f t="shared" si="2"/>
        <v>2</v>
      </c>
    </row>
    <row r="32" ht="15.75" customHeight="1">
      <c r="A32" s="21" t="s">
        <v>63</v>
      </c>
      <c r="B32" s="22" t="s">
        <v>64</v>
      </c>
      <c r="C32" s="22" t="s">
        <v>172</v>
      </c>
      <c r="D32" s="21" t="s">
        <v>109</v>
      </c>
      <c r="E32" s="21" t="s">
        <v>114</v>
      </c>
      <c r="F32" s="21" t="s">
        <v>173</v>
      </c>
      <c r="G32" s="27">
        <v>0.5</v>
      </c>
      <c r="H32" s="22" t="s">
        <v>106</v>
      </c>
      <c r="I32" s="26" t="s">
        <v>107</v>
      </c>
      <c r="J32" s="28"/>
      <c r="K32" s="28"/>
      <c r="L32" s="28"/>
      <c r="M32" s="28"/>
      <c r="N32" s="28"/>
      <c r="O32" s="26" t="s">
        <v>107</v>
      </c>
      <c r="P32" s="28"/>
      <c r="Q32" s="28"/>
      <c r="R32" s="28"/>
      <c r="S32" s="28"/>
      <c r="T32" s="28"/>
      <c r="U32" s="21">
        <f t="shared" si="1"/>
        <v>2</v>
      </c>
      <c r="V32" s="27">
        <f t="shared" si="2"/>
        <v>1</v>
      </c>
    </row>
    <row r="33" ht="15.75" customHeight="1">
      <c r="A33" s="18" t="s">
        <v>67</v>
      </c>
      <c r="B33" s="19" t="s">
        <v>68</v>
      </c>
      <c r="C33" s="19" t="s">
        <v>174</v>
      </c>
      <c r="D33" s="18" t="s">
        <v>109</v>
      </c>
      <c r="E33" s="18" t="s">
        <v>125</v>
      </c>
      <c r="F33" s="18" t="s">
        <v>175</v>
      </c>
      <c r="G33" s="25">
        <v>0.5</v>
      </c>
      <c r="H33" s="19" t="s">
        <v>106</v>
      </c>
      <c r="I33" s="26" t="s">
        <v>107</v>
      </c>
      <c r="J33" s="26" t="s">
        <v>107</v>
      </c>
      <c r="K33" s="26" t="s">
        <v>107</v>
      </c>
      <c r="L33" s="26" t="s">
        <v>107</v>
      </c>
      <c r="M33" s="26" t="s">
        <v>107</v>
      </c>
      <c r="N33" s="26" t="s">
        <v>107</v>
      </c>
      <c r="O33" s="26" t="s">
        <v>107</v>
      </c>
      <c r="P33" s="26" t="s">
        <v>107</v>
      </c>
      <c r="Q33" s="26" t="s">
        <v>107</v>
      </c>
      <c r="R33" s="26" t="s">
        <v>107</v>
      </c>
      <c r="S33" s="26" t="s">
        <v>107</v>
      </c>
      <c r="T33" s="26" t="s">
        <v>107</v>
      </c>
      <c r="U33" s="18">
        <f t="shared" si="1"/>
        <v>12</v>
      </c>
      <c r="V33" s="25">
        <f t="shared" si="2"/>
        <v>6</v>
      </c>
    </row>
    <row r="34" ht="15.75" customHeight="1">
      <c r="A34" s="21" t="s">
        <v>67</v>
      </c>
      <c r="B34" s="22" t="s">
        <v>68</v>
      </c>
      <c r="C34" s="22" t="s">
        <v>146</v>
      </c>
      <c r="D34" s="21" t="s">
        <v>113</v>
      </c>
      <c r="E34" s="21" t="s">
        <v>114</v>
      </c>
      <c r="F34" s="21" t="s">
        <v>176</v>
      </c>
      <c r="G34" s="27">
        <v>0.5</v>
      </c>
      <c r="H34" s="22" t="s">
        <v>106</v>
      </c>
      <c r="I34" s="26" t="s">
        <v>107</v>
      </c>
      <c r="J34" s="28"/>
      <c r="K34" s="28"/>
      <c r="L34" s="28"/>
      <c r="M34" s="28"/>
      <c r="N34" s="28"/>
      <c r="O34" s="26" t="s">
        <v>107</v>
      </c>
      <c r="P34" s="28"/>
      <c r="Q34" s="28"/>
      <c r="R34" s="28"/>
      <c r="S34" s="28"/>
      <c r="T34" s="28"/>
      <c r="U34" s="21">
        <f t="shared" si="1"/>
        <v>2</v>
      </c>
      <c r="V34" s="27">
        <f t="shared" si="2"/>
        <v>1</v>
      </c>
    </row>
    <row r="35" ht="15.75" customHeight="1">
      <c r="A35" s="18" t="s">
        <v>69</v>
      </c>
      <c r="B35" s="19" t="s">
        <v>70</v>
      </c>
      <c r="C35" s="19" t="s">
        <v>177</v>
      </c>
      <c r="D35" s="18" t="s">
        <v>152</v>
      </c>
      <c r="E35" s="18" t="s">
        <v>125</v>
      </c>
      <c r="F35" s="18" t="s">
        <v>178</v>
      </c>
      <c r="G35" s="25">
        <v>0.5</v>
      </c>
      <c r="H35" s="19" t="s">
        <v>106</v>
      </c>
      <c r="I35" s="26" t="s">
        <v>107</v>
      </c>
      <c r="J35" s="26" t="s">
        <v>107</v>
      </c>
      <c r="K35" s="26" t="s">
        <v>107</v>
      </c>
      <c r="L35" s="26" t="s">
        <v>107</v>
      </c>
      <c r="M35" s="26" t="s">
        <v>107</v>
      </c>
      <c r="N35" s="26" t="s">
        <v>107</v>
      </c>
      <c r="O35" s="26" t="s">
        <v>107</v>
      </c>
      <c r="P35" s="26" t="s">
        <v>107</v>
      </c>
      <c r="Q35" s="26" t="s">
        <v>107</v>
      </c>
      <c r="R35" s="26" t="s">
        <v>107</v>
      </c>
      <c r="S35" s="26" t="s">
        <v>107</v>
      </c>
      <c r="T35" s="26" t="s">
        <v>107</v>
      </c>
      <c r="U35" s="18">
        <f t="shared" si="1"/>
        <v>12</v>
      </c>
      <c r="V35" s="25">
        <f t="shared" si="2"/>
        <v>6</v>
      </c>
    </row>
    <row r="36" ht="15.75" customHeight="1">
      <c r="A36" s="21" t="s">
        <v>69</v>
      </c>
      <c r="B36" s="22" t="s">
        <v>70</v>
      </c>
      <c r="C36" s="22" t="s">
        <v>179</v>
      </c>
      <c r="D36" s="21" t="s">
        <v>157</v>
      </c>
      <c r="E36" s="21" t="s">
        <v>118</v>
      </c>
      <c r="F36" s="21" t="s">
        <v>180</v>
      </c>
      <c r="G36" s="27">
        <v>1.0</v>
      </c>
      <c r="H36" s="22" t="s">
        <v>140</v>
      </c>
      <c r="I36" s="28"/>
      <c r="J36" s="28"/>
      <c r="K36" s="28"/>
      <c r="L36" s="28"/>
      <c r="M36" s="28"/>
      <c r="N36" s="28"/>
      <c r="O36" s="28"/>
      <c r="P36" s="26" t="s">
        <v>107</v>
      </c>
      <c r="Q36" s="28"/>
      <c r="R36" s="28"/>
      <c r="S36" s="28"/>
      <c r="T36" s="28"/>
      <c r="U36" s="21">
        <f t="shared" si="1"/>
        <v>1</v>
      </c>
      <c r="V36" s="27">
        <f t="shared" si="2"/>
        <v>1</v>
      </c>
    </row>
    <row r="37" ht="15.75" customHeight="1">
      <c r="A37" s="18" t="s">
        <v>73</v>
      </c>
      <c r="B37" s="19" t="s">
        <v>74</v>
      </c>
      <c r="C37" s="19" t="s">
        <v>181</v>
      </c>
      <c r="D37" s="18" t="s">
        <v>109</v>
      </c>
      <c r="E37" s="18" t="s">
        <v>125</v>
      </c>
      <c r="F37" s="18" t="s">
        <v>182</v>
      </c>
      <c r="G37" s="25">
        <v>0.25</v>
      </c>
      <c r="H37" s="19" t="s">
        <v>106</v>
      </c>
      <c r="I37" s="26" t="s">
        <v>107</v>
      </c>
      <c r="J37" s="26" t="s">
        <v>107</v>
      </c>
      <c r="K37" s="26" t="s">
        <v>107</v>
      </c>
      <c r="L37" s="26" t="s">
        <v>107</v>
      </c>
      <c r="M37" s="26" t="s">
        <v>107</v>
      </c>
      <c r="N37" s="26" t="s">
        <v>107</v>
      </c>
      <c r="O37" s="26" t="s">
        <v>107</v>
      </c>
      <c r="P37" s="26" t="s">
        <v>107</v>
      </c>
      <c r="Q37" s="26" t="s">
        <v>107</v>
      </c>
      <c r="R37" s="26" t="s">
        <v>107</v>
      </c>
      <c r="S37" s="26" t="s">
        <v>107</v>
      </c>
      <c r="T37" s="26" t="s">
        <v>107</v>
      </c>
      <c r="U37" s="18">
        <f t="shared" si="1"/>
        <v>12</v>
      </c>
      <c r="V37" s="25">
        <f t="shared" si="2"/>
        <v>3</v>
      </c>
    </row>
    <row r="38" ht="15.75" customHeight="1">
      <c r="A38" s="21" t="s">
        <v>73</v>
      </c>
      <c r="B38" s="22" t="s">
        <v>74</v>
      </c>
      <c r="C38" s="22" t="s">
        <v>183</v>
      </c>
      <c r="D38" s="21" t="s">
        <v>103</v>
      </c>
      <c r="E38" s="21" t="s">
        <v>110</v>
      </c>
      <c r="F38" s="21" t="s">
        <v>184</v>
      </c>
      <c r="G38" s="27">
        <v>0.5</v>
      </c>
      <c r="H38" s="22" t="s">
        <v>106</v>
      </c>
      <c r="I38" s="26" t="s">
        <v>107</v>
      </c>
      <c r="J38" s="28"/>
      <c r="K38" s="28"/>
      <c r="L38" s="26" t="s">
        <v>107</v>
      </c>
      <c r="M38" s="28"/>
      <c r="N38" s="28"/>
      <c r="O38" s="26" t="s">
        <v>107</v>
      </c>
      <c r="P38" s="28"/>
      <c r="Q38" s="28"/>
      <c r="R38" s="26" t="s">
        <v>107</v>
      </c>
      <c r="S38" s="28"/>
      <c r="T38" s="28"/>
      <c r="U38" s="21">
        <f t="shared" si="1"/>
        <v>4</v>
      </c>
      <c r="V38" s="27">
        <f t="shared" si="2"/>
        <v>2</v>
      </c>
    </row>
    <row r="39" ht="15.75" customHeight="1">
      <c r="A39" s="18" t="s">
        <v>73</v>
      </c>
      <c r="B39" s="19" t="s">
        <v>74</v>
      </c>
      <c r="C39" s="19" t="s">
        <v>185</v>
      </c>
      <c r="D39" s="18" t="s">
        <v>113</v>
      </c>
      <c r="E39" s="18" t="s">
        <v>118</v>
      </c>
      <c r="F39" s="18" t="s">
        <v>186</v>
      </c>
      <c r="G39" s="25">
        <v>1.0</v>
      </c>
      <c r="H39" s="19" t="s">
        <v>106</v>
      </c>
      <c r="I39" s="28"/>
      <c r="J39" s="28"/>
      <c r="K39" s="28"/>
      <c r="L39" s="28"/>
      <c r="M39" s="28"/>
      <c r="N39" s="28"/>
      <c r="O39" s="28"/>
      <c r="P39" s="26" t="s">
        <v>107</v>
      </c>
      <c r="Q39" s="28"/>
      <c r="R39" s="28"/>
      <c r="S39" s="28"/>
      <c r="T39" s="28"/>
      <c r="U39" s="18">
        <f t="shared" si="1"/>
        <v>1</v>
      </c>
      <c r="V39" s="25">
        <f t="shared" si="2"/>
        <v>1</v>
      </c>
    </row>
    <row r="40" ht="15.75" customHeight="1">
      <c r="A40" s="21" t="s">
        <v>76</v>
      </c>
      <c r="B40" s="22" t="s">
        <v>187</v>
      </c>
      <c r="C40" s="22" t="s">
        <v>188</v>
      </c>
      <c r="D40" s="21" t="s">
        <v>103</v>
      </c>
      <c r="E40" s="21" t="s">
        <v>125</v>
      </c>
      <c r="F40" s="21" t="s">
        <v>189</v>
      </c>
      <c r="G40" s="27">
        <v>0.5</v>
      </c>
      <c r="H40" s="22" t="s">
        <v>106</v>
      </c>
      <c r="I40" s="26" t="s">
        <v>107</v>
      </c>
      <c r="J40" s="26" t="s">
        <v>107</v>
      </c>
      <c r="K40" s="26" t="s">
        <v>107</v>
      </c>
      <c r="L40" s="26" t="s">
        <v>107</v>
      </c>
      <c r="M40" s="26" t="s">
        <v>107</v>
      </c>
      <c r="N40" s="26" t="s">
        <v>107</v>
      </c>
      <c r="O40" s="26" t="s">
        <v>107</v>
      </c>
      <c r="P40" s="26" t="s">
        <v>107</v>
      </c>
      <c r="Q40" s="26" t="s">
        <v>107</v>
      </c>
      <c r="R40" s="26" t="s">
        <v>107</v>
      </c>
      <c r="S40" s="26" t="s">
        <v>107</v>
      </c>
      <c r="T40" s="26" t="s">
        <v>107</v>
      </c>
      <c r="U40" s="21">
        <f t="shared" si="1"/>
        <v>12</v>
      </c>
      <c r="V40" s="27">
        <f t="shared" si="2"/>
        <v>6</v>
      </c>
    </row>
    <row r="41" ht="15.75" customHeight="1">
      <c r="A41" s="18" t="s">
        <v>76</v>
      </c>
      <c r="B41" s="19" t="s">
        <v>187</v>
      </c>
      <c r="C41" s="19" t="s">
        <v>190</v>
      </c>
      <c r="D41" s="18" t="s">
        <v>113</v>
      </c>
      <c r="E41" s="18" t="s">
        <v>114</v>
      </c>
      <c r="F41" s="18" t="s">
        <v>191</v>
      </c>
      <c r="G41" s="25">
        <v>0.5</v>
      </c>
      <c r="H41" s="19" t="s">
        <v>106</v>
      </c>
      <c r="I41" s="26" t="s">
        <v>107</v>
      </c>
      <c r="J41" s="28"/>
      <c r="K41" s="28"/>
      <c r="L41" s="28"/>
      <c r="M41" s="28"/>
      <c r="N41" s="28"/>
      <c r="O41" s="26" t="s">
        <v>107</v>
      </c>
      <c r="P41" s="28"/>
      <c r="Q41" s="28"/>
      <c r="R41" s="28"/>
      <c r="S41" s="28"/>
      <c r="T41" s="28"/>
      <c r="U41" s="18">
        <f t="shared" si="1"/>
        <v>2</v>
      </c>
      <c r="V41" s="25">
        <f t="shared" si="2"/>
        <v>1</v>
      </c>
    </row>
    <row r="42" ht="19.5" customHeight="1">
      <c r="A42" s="29" t="s">
        <v>192</v>
      </c>
      <c r="B42" s="14"/>
      <c r="C42" s="14"/>
      <c r="D42" s="14"/>
      <c r="E42" s="14"/>
      <c r="F42" s="14"/>
      <c r="G42" s="14"/>
      <c r="H42" s="30"/>
      <c r="I42" s="31">
        <f t="shared" ref="I42:T42" si="3">COUNTIF(I5:I41,"X")</f>
        <v>29</v>
      </c>
      <c r="J42" s="31">
        <f t="shared" si="3"/>
        <v>16</v>
      </c>
      <c r="K42" s="31">
        <f t="shared" si="3"/>
        <v>16</v>
      </c>
      <c r="L42" s="31">
        <f t="shared" si="3"/>
        <v>22</v>
      </c>
      <c r="M42" s="31">
        <f t="shared" si="3"/>
        <v>16</v>
      </c>
      <c r="N42" s="31">
        <f t="shared" si="3"/>
        <v>16</v>
      </c>
      <c r="O42" s="31">
        <f t="shared" si="3"/>
        <v>29</v>
      </c>
      <c r="P42" s="31">
        <f t="shared" si="3"/>
        <v>24</v>
      </c>
      <c r="Q42" s="31">
        <f t="shared" si="3"/>
        <v>16</v>
      </c>
      <c r="R42" s="31">
        <f t="shared" si="3"/>
        <v>22</v>
      </c>
      <c r="S42" s="31">
        <f t="shared" si="3"/>
        <v>16</v>
      </c>
      <c r="T42" s="31">
        <f t="shared" si="3"/>
        <v>16</v>
      </c>
      <c r="U42" s="17">
        <f t="shared" ref="U42:V42" si="4">SUM(U5:U41)</f>
        <v>418</v>
      </c>
      <c r="V42" s="32">
        <f t="shared" si="4"/>
        <v>204.5</v>
      </c>
    </row>
    <row r="43" ht="15.75" customHeight="1"/>
    <row r="44" ht="15.75" customHeight="1">
      <c r="A44" s="33" t="s">
        <v>193</v>
      </c>
      <c r="B44" s="34" t="s">
        <v>194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A2:V2"/>
    <mergeCell ref="A42:H42"/>
    <mergeCell ref="B44:V44"/>
  </mergeCells>
  <dataValidations>
    <dataValidation type="list" allowBlank="1" sqref="E5:E41">
      <formula1>"Hebdomadaire,Mensuel,Trimestriel,Semestriel,Annuel"</formula1>
    </dataValidation>
    <dataValidation type="list" allowBlank="1" sqref="D5:D41">
      <formula1>"Nettoyage,Inspection,Lubrification,Étalonnage,Remplacement,Révision"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13.0"/>
    <col customWidth="1" min="4" max="4" width="9.0"/>
    <col customWidth="1" min="5" max="56" width="4.14"/>
    <col customWidth="1" min="57" max="57" width="9.0"/>
  </cols>
  <sheetData>
    <row r="1" ht="33.75" customHeight="1">
      <c r="A1" s="15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 ht="19.5" customHeight="1">
      <c r="A2" s="16" t="s">
        <v>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3"/>
    </row>
    <row r="4" ht="25.5" customHeight="1">
      <c r="A4" s="17" t="s">
        <v>80</v>
      </c>
      <c r="B4" s="17" t="s">
        <v>197</v>
      </c>
      <c r="C4" s="17" t="s">
        <v>83</v>
      </c>
      <c r="D4" s="17" t="s">
        <v>85</v>
      </c>
      <c r="E4" s="17" t="s">
        <v>198</v>
      </c>
      <c r="F4" s="17" t="s">
        <v>199</v>
      </c>
      <c r="G4" s="17" t="s">
        <v>200</v>
      </c>
      <c r="H4" s="17" t="s">
        <v>201</v>
      </c>
      <c r="I4" s="17" t="s">
        <v>202</v>
      </c>
      <c r="J4" s="17" t="s">
        <v>203</v>
      </c>
      <c r="K4" s="17" t="s">
        <v>204</v>
      </c>
      <c r="L4" s="17" t="s">
        <v>205</v>
      </c>
      <c r="M4" s="17" t="s">
        <v>206</v>
      </c>
      <c r="N4" s="17" t="s">
        <v>207</v>
      </c>
      <c r="O4" s="17" t="s">
        <v>208</v>
      </c>
      <c r="P4" s="17" t="s">
        <v>209</v>
      </c>
      <c r="Q4" s="17" t="s">
        <v>210</v>
      </c>
      <c r="R4" s="17" t="s">
        <v>211</v>
      </c>
      <c r="S4" s="17" t="s">
        <v>212</v>
      </c>
      <c r="T4" s="17" t="s">
        <v>213</v>
      </c>
      <c r="U4" s="17" t="s">
        <v>214</v>
      </c>
      <c r="V4" s="17" t="s">
        <v>215</v>
      </c>
      <c r="W4" s="17" t="s">
        <v>216</v>
      </c>
      <c r="X4" s="17" t="s">
        <v>217</v>
      </c>
      <c r="Y4" s="17" t="s">
        <v>218</v>
      </c>
      <c r="Z4" s="17" t="s">
        <v>219</v>
      </c>
      <c r="AA4" s="17" t="s">
        <v>220</v>
      </c>
      <c r="AB4" s="17" t="s">
        <v>221</v>
      </c>
      <c r="AC4" s="17" t="s">
        <v>222</v>
      </c>
      <c r="AD4" s="17" t="s">
        <v>223</v>
      </c>
      <c r="AE4" s="17" t="s">
        <v>224</v>
      </c>
      <c r="AF4" s="17" t="s">
        <v>225</v>
      </c>
      <c r="AG4" s="17" t="s">
        <v>226</v>
      </c>
      <c r="AH4" s="17" t="s">
        <v>227</v>
      </c>
      <c r="AI4" s="17" t="s">
        <v>228</v>
      </c>
      <c r="AJ4" s="17" t="s">
        <v>229</v>
      </c>
      <c r="AK4" s="17" t="s">
        <v>230</v>
      </c>
      <c r="AL4" s="17" t="s">
        <v>231</v>
      </c>
      <c r="AM4" s="17" t="s">
        <v>232</v>
      </c>
      <c r="AN4" s="17" t="s">
        <v>233</v>
      </c>
      <c r="AO4" s="17" t="s">
        <v>234</v>
      </c>
      <c r="AP4" s="17" t="s">
        <v>235</v>
      </c>
      <c r="AQ4" s="17" t="s">
        <v>236</v>
      </c>
      <c r="AR4" s="17" t="s">
        <v>237</v>
      </c>
      <c r="AS4" s="17" t="s">
        <v>238</v>
      </c>
      <c r="AT4" s="17" t="s">
        <v>239</v>
      </c>
      <c r="AU4" s="17" t="s">
        <v>240</v>
      </c>
      <c r="AV4" s="17" t="s">
        <v>241</v>
      </c>
      <c r="AW4" s="17" t="s">
        <v>242</v>
      </c>
      <c r="AX4" s="17" t="s">
        <v>243</v>
      </c>
      <c r="AY4" s="17" t="s">
        <v>244</v>
      </c>
      <c r="AZ4" s="17" t="s">
        <v>245</v>
      </c>
      <c r="BA4" s="17" t="s">
        <v>246</v>
      </c>
      <c r="BB4" s="17" t="s">
        <v>247</v>
      </c>
      <c r="BC4" s="17" t="s">
        <v>248</v>
      </c>
      <c r="BD4" s="17" t="s">
        <v>249</v>
      </c>
      <c r="BE4" s="17" t="s">
        <v>250</v>
      </c>
    </row>
    <row r="5">
      <c r="A5" s="18" t="s">
        <v>29</v>
      </c>
      <c r="B5" s="19" t="s">
        <v>102</v>
      </c>
      <c r="C5" s="18" t="s">
        <v>104</v>
      </c>
      <c r="D5" s="18">
        <v>0.25</v>
      </c>
      <c r="E5" s="35" t="s">
        <v>107</v>
      </c>
      <c r="F5" s="35" t="s">
        <v>107</v>
      </c>
      <c r="G5" s="35" t="s">
        <v>107</v>
      </c>
      <c r="H5" s="35" t="s">
        <v>107</v>
      </c>
      <c r="I5" s="35" t="s">
        <v>107</v>
      </c>
      <c r="J5" s="35" t="s">
        <v>107</v>
      </c>
      <c r="K5" s="35" t="s">
        <v>107</v>
      </c>
      <c r="L5" s="35" t="s">
        <v>107</v>
      </c>
      <c r="M5" s="35" t="s">
        <v>107</v>
      </c>
      <c r="N5" s="35" t="s">
        <v>107</v>
      </c>
      <c r="O5" s="35" t="s">
        <v>107</v>
      </c>
      <c r="P5" s="35" t="s">
        <v>107</v>
      </c>
      <c r="Q5" s="35" t="s">
        <v>107</v>
      </c>
      <c r="R5" s="35" t="s">
        <v>107</v>
      </c>
      <c r="S5" s="35" t="s">
        <v>107</v>
      </c>
      <c r="T5" s="35" t="s">
        <v>107</v>
      </c>
      <c r="U5" s="35" t="s">
        <v>107</v>
      </c>
      <c r="V5" s="35" t="s">
        <v>107</v>
      </c>
      <c r="W5" s="35" t="s">
        <v>107</v>
      </c>
      <c r="X5" s="35" t="s">
        <v>107</v>
      </c>
      <c r="Y5" s="35" t="s">
        <v>107</v>
      </c>
      <c r="Z5" s="35" t="s">
        <v>107</v>
      </c>
      <c r="AA5" s="35" t="s">
        <v>107</v>
      </c>
      <c r="AB5" s="35" t="s">
        <v>107</v>
      </c>
      <c r="AC5" s="35" t="s">
        <v>107</v>
      </c>
      <c r="AD5" s="35" t="s">
        <v>107</v>
      </c>
      <c r="AE5" s="35" t="s">
        <v>107</v>
      </c>
      <c r="AF5" s="35" t="s">
        <v>107</v>
      </c>
      <c r="AG5" s="35" t="s">
        <v>107</v>
      </c>
      <c r="AH5" s="28"/>
      <c r="AI5" s="28"/>
      <c r="AJ5" s="35" t="s">
        <v>107</v>
      </c>
      <c r="AK5" s="35" t="s">
        <v>107</v>
      </c>
      <c r="AL5" s="35" t="s">
        <v>107</v>
      </c>
      <c r="AM5" s="35" t="s">
        <v>107</v>
      </c>
      <c r="AN5" s="35" t="s">
        <v>107</v>
      </c>
      <c r="AO5" s="35" t="s">
        <v>107</v>
      </c>
      <c r="AP5" s="35" t="s">
        <v>107</v>
      </c>
      <c r="AQ5" s="35" t="s">
        <v>107</v>
      </c>
      <c r="AR5" s="35" t="s">
        <v>107</v>
      </c>
      <c r="AS5" s="35" t="s">
        <v>107</v>
      </c>
      <c r="AT5" s="35" t="s">
        <v>107</v>
      </c>
      <c r="AU5" s="35" t="s">
        <v>107</v>
      </c>
      <c r="AV5" s="35" t="s">
        <v>107</v>
      </c>
      <c r="AW5" s="35" t="s">
        <v>107</v>
      </c>
      <c r="AX5" s="35" t="s">
        <v>107</v>
      </c>
      <c r="AY5" s="35" t="s">
        <v>107</v>
      </c>
      <c r="AZ5" s="35" t="s">
        <v>107</v>
      </c>
      <c r="BA5" s="35" t="s">
        <v>107</v>
      </c>
      <c r="BB5" s="35" t="s">
        <v>107</v>
      </c>
      <c r="BC5" s="28"/>
      <c r="BD5" s="28"/>
      <c r="BE5" s="25">
        <f t="shared" ref="BE5:BE41" si="1">COUNTIF(E5:BD5,"X")*D5</f>
        <v>12</v>
      </c>
    </row>
    <row r="6">
      <c r="A6" s="21" t="s">
        <v>29</v>
      </c>
      <c r="B6" s="22" t="s">
        <v>108</v>
      </c>
      <c r="C6" s="21" t="s">
        <v>110</v>
      </c>
      <c r="D6" s="21">
        <v>0.5</v>
      </c>
      <c r="E6" s="28"/>
      <c r="F6" s="35" t="s">
        <v>107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35" t="s">
        <v>107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35" t="s">
        <v>107</v>
      </c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35" t="s">
        <v>107</v>
      </c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5">
        <f t="shared" si="1"/>
        <v>2</v>
      </c>
    </row>
    <row r="7">
      <c r="A7" s="18" t="s">
        <v>29</v>
      </c>
      <c r="B7" s="19" t="s">
        <v>112</v>
      </c>
      <c r="C7" s="18" t="s">
        <v>114</v>
      </c>
      <c r="D7" s="18">
        <v>0.5</v>
      </c>
      <c r="E7" s="28"/>
      <c r="F7" s="35" t="s">
        <v>107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35" t="s">
        <v>107</v>
      </c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5">
        <f t="shared" si="1"/>
        <v>1</v>
      </c>
    </row>
    <row r="8">
      <c r="A8" s="21" t="s">
        <v>29</v>
      </c>
      <c r="B8" s="22" t="s">
        <v>116</v>
      </c>
      <c r="C8" s="21" t="s">
        <v>118</v>
      </c>
      <c r="D8" s="21">
        <v>1.0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35" t="s">
        <v>107</v>
      </c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5">
        <f t="shared" si="1"/>
        <v>1</v>
      </c>
    </row>
    <row r="9">
      <c r="A9" s="18" t="s">
        <v>34</v>
      </c>
      <c r="B9" s="19" t="s">
        <v>121</v>
      </c>
      <c r="C9" s="18" t="s">
        <v>104</v>
      </c>
      <c r="D9" s="18">
        <v>0.5</v>
      </c>
      <c r="E9" s="35" t="s">
        <v>107</v>
      </c>
      <c r="F9" s="35" t="s">
        <v>107</v>
      </c>
      <c r="G9" s="35" t="s">
        <v>107</v>
      </c>
      <c r="H9" s="35" t="s">
        <v>107</v>
      </c>
      <c r="I9" s="35" t="s">
        <v>107</v>
      </c>
      <c r="J9" s="35" t="s">
        <v>107</v>
      </c>
      <c r="K9" s="35" t="s">
        <v>107</v>
      </c>
      <c r="L9" s="35" t="s">
        <v>107</v>
      </c>
      <c r="M9" s="35" t="s">
        <v>107</v>
      </c>
      <c r="N9" s="35" t="s">
        <v>107</v>
      </c>
      <c r="O9" s="35" t="s">
        <v>107</v>
      </c>
      <c r="P9" s="35" t="s">
        <v>107</v>
      </c>
      <c r="Q9" s="35" t="s">
        <v>107</v>
      </c>
      <c r="R9" s="35" t="s">
        <v>107</v>
      </c>
      <c r="S9" s="35" t="s">
        <v>107</v>
      </c>
      <c r="T9" s="35" t="s">
        <v>107</v>
      </c>
      <c r="U9" s="35" t="s">
        <v>107</v>
      </c>
      <c r="V9" s="35" t="s">
        <v>107</v>
      </c>
      <c r="W9" s="35" t="s">
        <v>107</v>
      </c>
      <c r="X9" s="35" t="s">
        <v>107</v>
      </c>
      <c r="Y9" s="35" t="s">
        <v>107</v>
      </c>
      <c r="Z9" s="35" t="s">
        <v>107</v>
      </c>
      <c r="AA9" s="35" t="s">
        <v>107</v>
      </c>
      <c r="AB9" s="35" t="s">
        <v>107</v>
      </c>
      <c r="AC9" s="35" t="s">
        <v>107</v>
      </c>
      <c r="AD9" s="35" t="s">
        <v>107</v>
      </c>
      <c r="AE9" s="35" t="s">
        <v>107</v>
      </c>
      <c r="AF9" s="35" t="s">
        <v>107</v>
      </c>
      <c r="AG9" s="35" t="s">
        <v>107</v>
      </c>
      <c r="AH9" s="28"/>
      <c r="AI9" s="28"/>
      <c r="AJ9" s="35" t="s">
        <v>107</v>
      </c>
      <c r="AK9" s="35" t="s">
        <v>107</v>
      </c>
      <c r="AL9" s="35" t="s">
        <v>107</v>
      </c>
      <c r="AM9" s="35" t="s">
        <v>107</v>
      </c>
      <c r="AN9" s="35" t="s">
        <v>107</v>
      </c>
      <c r="AO9" s="35" t="s">
        <v>107</v>
      </c>
      <c r="AP9" s="35" t="s">
        <v>107</v>
      </c>
      <c r="AQ9" s="35" t="s">
        <v>107</v>
      </c>
      <c r="AR9" s="35" t="s">
        <v>107</v>
      </c>
      <c r="AS9" s="35" t="s">
        <v>107</v>
      </c>
      <c r="AT9" s="35" t="s">
        <v>107</v>
      </c>
      <c r="AU9" s="35" t="s">
        <v>107</v>
      </c>
      <c r="AV9" s="35" t="s">
        <v>107</v>
      </c>
      <c r="AW9" s="35" t="s">
        <v>107</v>
      </c>
      <c r="AX9" s="35" t="s">
        <v>107</v>
      </c>
      <c r="AY9" s="35" t="s">
        <v>107</v>
      </c>
      <c r="AZ9" s="35" t="s">
        <v>107</v>
      </c>
      <c r="BA9" s="35" t="s">
        <v>107</v>
      </c>
      <c r="BB9" s="35" t="s">
        <v>107</v>
      </c>
      <c r="BC9" s="28"/>
      <c r="BD9" s="28"/>
      <c r="BE9" s="25">
        <f t="shared" si="1"/>
        <v>24</v>
      </c>
    </row>
    <row r="10">
      <c r="A10" s="21" t="s">
        <v>34</v>
      </c>
      <c r="B10" s="22" t="s">
        <v>122</v>
      </c>
      <c r="C10" s="21" t="s">
        <v>110</v>
      </c>
      <c r="D10" s="21">
        <v>1.0</v>
      </c>
      <c r="E10" s="28"/>
      <c r="F10" s="35" t="s">
        <v>107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35" t="s">
        <v>107</v>
      </c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35" t="s">
        <v>107</v>
      </c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35" t="s">
        <v>107</v>
      </c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5">
        <f t="shared" si="1"/>
        <v>4</v>
      </c>
    </row>
    <row r="11">
      <c r="A11" s="18" t="s">
        <v>38</v>
      </c>
      <c r="B11" s="19" t="s">
        <v>124</v>
      </c>
      <c r="C11" s="18" t="s">
        <v>125</v>
      </c>
      <c r="D11" s="18">
        <v>0.5</v>
      </c>
      <c r="E11" s="28"/>
      <c r="F11" s="35" t="s">
        <v>107</v>
      </c>
      <c r="G11" s="28"/>
      <c r="H11" s="28"/>
      <c r="I11" s="28"/>
      <c r="J11" s="35" t="s">
        <v>107</v>
      </c>
      <c r="K11" s="28"/>
      <c r="L11" s="28"/>
      <c r="M11" s="28"/>
      <c r="N11" s="28"/>
      <c r="O11" s="35" t="s">
        <v>107</v>
      </c>
      <c r="P11" s="28"/>
      <c r="Q11" s="28"/>
      <c r="R11" s="28"/>
      <c r="S11" s="35" t="s">
        <v>107</v>
      </c>
      <c r="T11" s="28"/>
      <c r="U11" s="28"/>
      <c r="V11" s="28"/>
      <c r="W11" s="35" t="s">
        <v>107</v>
      </c>
      <c r="X11" s="28"/>
      <c r="Y11" s="28"/>
      <c r="Z11" s="28"/>
      <c r="AA11" s="28"/>
      <c r="AB11" s="35" t="s">
        <v>107</v>
      </c>
      <c r="AC11" s="28"/>
      <c r="AD11" s="28"/>
      <c r="AE11" s="28"/>
      <c r="AF11" s="35" t="s">
        <v>107</v>
      </c>
      <c r="AG11" s="28"/>
      <c r="AH11" s="28"/>
      <c r="AI11" s="28"/>
      <c r="AJ11" s="35" t="s">
        <v>107</v>
      </c>
      <c r="AK11" s="28"/>
      <c r="AL11" s="28"/>
      <c r="AM11" s="28"/>
      <c r="AN11" s="28"/>
      <c r="AO11" s="35" t="s">
        <v>107</v>
      </c>
      <c r="AP11" s="28"/>
      <c r="AQ11" s="28"/>
      <c r="AR11" s="28"/>
      <c r="AS11" s="35" t="s">
        <v>107</v>
      </c>
      <c r="AT11" s="28"/>
      <c r="AU11" s="28"/>
      <c r="AV11" s="28"/>
      <c r="AW11" s="35" t="s">
        <v>107</v>
      </c>
      <c r="AX11" s="28"/>
      <c r="AY11" s="28"/>
      <c r="AZ11" s="28"/>
      <c r="BA11" s="28"/>
      <c r="BB11" s="35" t="s">
        <v>107</v>
      </c>
      <c r="BC11" s="28"/>
      <c r="BD11" s="28"/>
      <c r="BE11" s="25">
        <f t="shared" si="1"/>
        <v>6</v>
      </c>
    </row>
    <row r="12">
      <c r="A12" s="21" t="s">
        <v>38</v>
      </c>
      <c r="B12" s="22" t="s">
        <v>127</v>
      </c>
      <c r="C12" s="21" t="s">
        <v>110</v>
      </c>
      <c r="D12" s="21">
        <v>0.5</v>
      </c>
      <c r="E12" s="28"/>
      <c r="F12" s="35" t="s">
        <v>107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35" t="s">
        <v>107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35" t="s">
        <v>107</v>
      </c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35" t="s">
        <v>107</v>
      </c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5">
        <f t="shared" si="1"/>
        <v>2</v>
      </c>
    </row>
    <row r="13">
      <c r="A13" s="18" t="s">
        <v>38</v>
      </c>
      <c r="B13" s="19" t="s">
        <v>129</v>
      </c>
      <c r="C13" s="18" t="s">
        <v>114</v>
      </c>
      <c r="D13" s="18">
        <v>0.75</v>
      </c>
      <c r="E13" s="28"/>
      <c r="F13" s="35" t="s">
        <v>107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35" t="s">
        <v>107</v>
      </c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5">
        <f t="shared" si="1"/>
        <v>1.5</v>
      </c>
    </row>
    <row r="14">
      <c r="A14" s="21" t="s">
        <v>41</v>
      </c>
      <c r="B14" s="22" t="s">
        <v>132</v>
      </c>
      <c r="C14" s="21" t="s">
        <v>104</v>
      </c>
      <c r="D14" s="21">
        <v>0.5</v>
      </c>
      <c r="E14" s="35" t="s">
        <v>107</v>
      </c>
      <c r="F14" s="35" t="s">
        <v>107</v>
      </c>
      <c r="G14" s="35" t="s">
        <v>107</v>
      </c>
      <c r="H14" s="35" t="s">
        <v>107</v>
      </c>
      <c r="I14" s="35" t="s">
        <v>107</v>
      </c>
      <c r="J14" s="35" t="s">
        <v>107</v>
      </c>
      <c r="K14" s="35" t="s">
        <v>107</v>
      </c>
      <c r="L14" s="35" t="s">
        <v>107</v>
      </c>
      <c r="M14" s="35" t="s">
        <v>107</v>
      </c>
      <c r="N14" s="35" t="s">
        <v>107</v>
      </c>
      <c r="O14" s="35" t="s">
        <v>107</v>
      </c>
      <c r="P14" s="35" t="s">
        <v>107</v>
      </c>
      <c r="Q14" s="35" t="s">
        <v>107</v>
      </c>
      <c r="R14" s="35" t="s">
        <v>107</v>
      </c>
      <c r="S14" s="35" t="s">
        <v>107</v>
      </c>
      <c r="T14" s="35" t="s">
        <v>107</v>
      </c>
      <c r="U14" s="35" t="s">
        <v>107</v>
      </c>
      <c r="V14" s="35" t="s">
        <v>107</v>
      </c>
      <c r="W14" s="35" t="s">
        <v>107</v>
      </c>
      <c r="X14" s="35" t="s">
        <v>107</v>
      </c>
      <c r="Y14" s="35" t="s">
        <v>107</v>
      </c>
      <c r="Z14" s="35" t="s">
        <v>107</v>
      </c>
      <c r="AA14" s="35" t="s">
        <v>107</v>
      </c>
      <c r="AB14" s="35" t="s">
        <v>107</v>
      </c>
      <c r="AC14" s="35" t="s">
        <v>107</v>
      </c>
      <c r="AD14" s="35" t="s">
        <v>107</v>
      </c>
      <c r="AE14" s="35" t="s">
        <v>107</v>
      </c>
      <c r="AF14" s="35" t="s">
        <v>107</v>
      </c>
      <c r="AG14" s="35" t="s">
        <v>107</v>
      </c>
      <c r="AH14" s="28"/>
      <c r="AI14" s="28"/>
      <c r="AJ14" s="35" t="s">
        <v>107</v>
      </c>
      <c r="AK14" s="35" t="s">
        <v>107</v>
      </c>
      <c r="AL14" s="35" t="s">
        <v>107</v>
      </c>
      <c r="AM14" s="35" t="s">
        <v>107</v>
      </c>
      <c r="AN14" s="35" t="s">
        <v>107</v>
      </c>
      <c r="AO14" s="35" t="s">
        <v>107</v>
      </c>
      <c r="AP14" s="35" t="s">
        <v>107</v>
      </c>
      <c r="AQ14" s="35" t="s">
        <v>107</v>
      </c>
      <c r="AR14" s="35" t="s">
        <v>107</v>
      </c>
      <c r="AS14" s="35" t="s">
        <v>107</v>
      </c>
      <c r="AT14" s="35" t="s">
        <v>107</v>
      </c>
      <c r="AU14" s="35" t="s">
        <v>107</v>
      </c>
      <c r="AV14" s="35" t="s">
        <v>107</v>
      </c>
      <c r="AW14" s="35" t="s">
        <v>107</v>
      </c>
      <c r="AX14" s="35" t="s">
        <v>107</v>
      </c>
      <c r="AY14" s="35" t="s">
        <v>107</v>
      </c>
      <c r="AZ14" s="35" t="s">
        <v>107</v>
      </c>
      <c r="BA14" s="35" t="s">
        <v>107</v>
      </c>
      <c r="BB14" s="35" t="s">
        <v>107</v>
      </c>
      <c r="BC14" s="28"/>
      <c r="BD14" s="28"/>
      <c r="BE14" s="25">
        <f t="shared" si="1"/>
        <v>24</v>
      </c>
    </row>
    <row r="15">
      <c r="A15" s="18" t="s">
        <v>41</v>
      </c>
      <c r="B15" s="19" t="s">
        <v>134</v>
      </c>
      <c r="C15" s="18" t="s">
        <v>125</v>
      </c>
      <c r="D15" s="18">
        <v>0.5</v>
      </c>
      <c r="E15" s="28"/>
      <c r="F15" s="35" t="s">
        <v>107</v>
      </c>
      <c r="G15" s="28"/>
      <c r="H15" s="28"/>
      <c r="I15" s="28"/>
      <c r="J15" s="35" t="s">
        <v>107</v>
      </c>
      <c r="K15" s="28"/>
      <c r="L15" s="28"/>
      <c r="M15" s="28"/>
      <c r="N15" s="28"/>
      <c r="O15" s="35" t="s">
        <v>107</v>
      </c>
      <c r="P15" s="28"/>
      <c r="Q15" s="28"/>
      <c r="R15" s="28"/>
      <c r="S15" s="35" t="s">
        <v>107</v>
      </c>
      <c r="T15" s="28"/>
      <c r="U15" s="28"/>
      <c r="V15" s="28"/>
      <c r="W15" s="35" t="s">
        <v>107</v>
      </c>
      <c r="X15" s="28"/>
      <c r="Y15" s="28"/>
      <c r="Z15" s="28"/>
      <c r="AA15" s="28"/>
      <c r="AB15" s="35" t="s">
        <v>107</v>
      </c>
      <c r="AC15" s="28"/>
      <c r="AD15" s="28"/>
      <c r="AE15" s="28"/>
      <c r="AF15" s="35" t="s">
        <v>107</v>
      </c>
      <c r="AG15" s="28"/>
      <c r="AH15" s="28"/>
      <c r="AI15" s="28"/>
      <c r="AJ15" s="35" t="s">
        <v>107</v>
      </c>
      <c r="AK15" s="28"/>
      <c r="AL15" s="28"/>
      <c r="AM15" s="28"/>
      <c r="AN15" s="28"/>
      <c r="AO15" s="35" t="s">
        <v>107</v>
      </c>
      <c r="AP15" s="28"/>
      <c r="AQ15" s="28"/>
      <c r="AR15" s="28"/>
      <c r="AS15" s="35" t="s">
        <v>107</v>
      </c>
      <c r="AT15" s="28"/>
      <c r="AU15" s="28"/>
      <c r="AV15" s="28"/>
      <c r="AW15" s="35" t="s">
        <v>107</v>
      </c>
      <c r="AX15" s="28"/>
      <c r="AY15" s="28"/>
      <c r="AZ15" s="28"/>
      <c r="BA15" s="28"/>
      <c r="BB15" s="35" t="s">
        <v>107</v>
      </c>
      <c r="BC15" s="28"/>
      <c r="BD15" s="28"/>
      <c r="BE15" s="25">
        <f t="shared" si="1"/>
        <v>6</v>
      </c>
    </row>
    <row r="16">
      <c r="A16" s="21" t="s">
        <v>41</v>
      </c>
      <c r="B16" s="22" t="s">
        <v>136</v>
      </c>
      <c r="C16" s="21" t="s">
        <v>125</v>
      </c>
      <c r="D16" s="21">
        <v>0.5</v>
      </c>
      <c r="E16" s="28"/>
      <c r="F16" s="35" t="s">
        <v>107</v>
      </c>
      <c r="G16" s="28"/>
      <c r="H16" s="28"/>
      <c r="I16" s="28"/>
      <c r="J16" s="35" t="s">
        <v>107</v>
      </c>
      <c r="K16" s="28"/>
      <c r="L16" s="28"/>
      <c r="M16" s="28"/>
      <c r="N16" s="28"/>
      <c r="O16" s="35" t="s">
        <v>107</v>
      </c>
      <c r="P16" s="28"/>
      <c r="Q16" s="28"/>
      <c r="R16" s="28"/>
      <c r="S16" s="35" t="s">
        <v>107</v>
      </c>
      <c r="T16" s="28"/>
      <c r="U16" s="28"/>
      <c r="V16" s="28"/>
      <c r="W16" s="35" t="s">
        <v>107</v>
      </c>
      <c r="X16" s="28"/>
      <c r="Y16" s="28"/>
      <c r="Z16" s="28"/>
      <c r="AA16" s="28"/>
      <c r="AB16" s="35" t="s">
        <v>107</v>
      </c>
      <c r="AC16" s="28"/>
      <c r="AD16" s="28"/>
      <c r="AE16" s="28"/>
      <c r="AF16" s="35" t="s">
        <v>107</v>
      </c>
      <c r="AG16" s="28"/>
      <c r="AH16" s="28"/>
      <c r="AI16" s="28"/>
      <c r="AJ16" s="35" t="s">
        <v>107</v>
      </c>
      <c r="AK16" s="28"/>
      <c r="AL16" s="28"/>
      <c r="AM16" s="28"/>
      <c r="AN16" s="28"/>
      <c r="AO16" s="35" t="s">
        <v>107</v>
      </c>
      <c r="AP16" s="28"/>
      <c r="AQ16" s="28"/>
      <c r="AR16" s="28"/>
      <c r="AS16" s="35" t="s">
        <v>107</v>
      </c>
      <c r="AT16" s="28"/>
      <c r="AU16" s="28"/>
      <c r="AV16" s="28"/>
      <c r="AW16" s="35" t="s">
        <v>107</v>
      </c>
      <c r="AX16" s="28"/>
      <c r="AY16" s="28"/>
      <c r="AZ16" s="28"/>
      <c r="BA16" s="28"/>
      <c r="BB16" s="35" t="s">
        <v>107</v>
      </c>
      <c r="BC16" s="28"/>
      <c r="BD16" s="28"/>
      <c r="BE16" s="25">
        <f t="shared" si="1"/>
        <v>6</v>
      </c>
    </row>
    <row r="17">
      <c r="A17" s="18" t="s">
        <v>41</v>
      </c>
      <c r="B17" s="19" t="s">
        <v>138</v>
      </c>
      <c r="C17" s="18" t="s">
        <v>114</v>
      </c>
      <c r="D17" s="18">
        <v>1.5</v>
      </c>
      <c r="E17" s="28"/>
      <c r="F17" s="35" t="s">
        <v>107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35" t="s">
        <v>107</v>
      </c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5">
        <f t="shared" si="1"/>
        <v>3</v>
      </c>
    </row>
    <row r="18">
      <c r="A18" s="21" t="s">
        <v>41</v>
      </c>
      <c r="B18" s="22" t="s">
        <v>141</v>
      </c>
      <c r="C18" s="21" t="s">
        <v>118</v>
      </c>
      <c r="D18" s="21">
        <v>1.0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35" t="s">
        <v>107</v>
      </c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5">
        <f t="shared" si="1"/>
        <v>1</v>
      </c>
    </row>
    <row r="19">
      <c r="A19" s="18" t="s">
        <v>46</v>
      </c>
      <c r="B19" s="19" t="s">
        <v>144</v>
      </c>
      <c r="C19" s="18" t="s">
        <v>125</v>
      </c>
      <c r="D19" s="18">
        <v>0.25</v>
      </c>
      <c r="E19" s="28"/>
      <c r="F19" s="35" t="s">
        <v>107</v>
      </c>
      <c r="G19" s="28"/>
      <c r="H19" s="28"/>
      <c r="I19" s="28"/>
      <c r="J19" s="35" t="s">
        <v>107</v>
      </c>
      <c r="K19" s="28"/>
      <c r="L19" s="28"/>
      <c r="M19" s="28"/>
      <c r="N19" s="28"/>
      <c r="O19" s="35" t="s">
        <v>107</v>
      </c>
      <c r="P19" s="28"/>
      <c r="Q19" s="28"/>
      <c r="R19" s="28"/>
      <c r="S19" s="35" t="s">
        <v>107</v>
      </c>
      <c r="T19" s="28"/>
      <c r="U19" s="28"/>
      <c r="V19" s="28"/>
      <c r="W19" s="35" t="s">
        <v>107</v>
      </c>
      <c r="X19" s="28"/>
      <c r="Y19" s="28"/>
      <c r="Z19" s="28"/>
      <c r="AA19" s="28"/>
      <c r="AB19" s="35" t="s">
        <v>107</v>
      </c>
      <c r="AC19" s="28"/>
      <c r="AD19" s="28"/>
      <c r="AE19" s="28"/>
      <c r="AF19" s="35" t="s">
        <v>107</v>
      </c>
      <c r="AG19" s="28"/>
      <c r="AH19" s="28"/>
      <c r="AI19" s="28"/>
      <c r="AJ19" s="35" t="s">
        <v>107</v>
      </c>
      <c r="AK19" s="28"/>
      <c r="AL19" s="28"/>
      <c r="AM19" s="28"/>
      <c r="AN19" s="28"/>
      <c r="AO19" s="35" t="s">
        <v>107</v>
      </c>
      <c r="AP19" s="28"/>
      <c r="AQ19" s="28"/>
      <c r="AR19" s="28"/>
      <c r="AS19" s="35" t="s">
        <v>107</v>
      </c>
      <c r="AT19" s="28"/>
      <c r="AU19" s="28"/>
      <c r="AV19" s="28"/>
      <c r="AW19" s="35" t="s">
        <v>107</v>
      </c>
      <c r="AX19" s="28"/>
      <c r="AY19" s="28"/>
      <c r="AZ19" s="28"/>
      <c r="BA19" s="28"/>
      <c r="BB19" s="35" t="s">
        <v>107</v>
      </c>
      <c r="BC19" s="28"/>
      <c r="BD19" s="28"/>
      <c r="BE19" s="25">
        <f t="shared" si="1"/>
        <v>3</v>
      </c>
    </row>
    <row r="20">
      <c r="A20" s="21" t="s">
        <v>46</v>
      </c>
      <c r="B20" s="22" t="s">
        <v>146</v>
      </c>
      <c r="C20" s="21" t="s">
        <v>114</v>
      </c>
      <c r="D20" s="21">
        <v>0.25</v>
      </c>
      <c r="E20" s="28"/>
      <c r="F20" s="35" t="s">
        <v>107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35" t="s">
        <v>107</v>
      </c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5">
        <f t="shared" si="1"/>
        <v>0.5</v>
      </c>
    </row>
    <row r="21" ht="15.75" customHeight="1">
      <c r="A21" s="18" t="s">
        <v>49</v>
      </c>
      <c r="B21" s="19" t="s">
        <v>149</v>
      </c>
      <c r="C21" s="18" t="s">
        <v>104</v>
      </c>
      <c r="D21" s="18">
        <v>0.5</v>
      </c>
      <c r="E21" s="35" t="s">
        <v>107</v>
      </c>
      <c r="F21" s="35" t="s">
        <v>107</v>
      </c>
      <c r="G21" s="35" t="s">
        <v>107</v>
      </c>
      <c r="H21" s="35" t="s">
        <v>107</v>
      </c>
      <c r="I21" s="35" t="s">
        <v>107</v>
      </c>
      <c r="J21" s="35" t="s">
        <v>107</v>
      </c>
      <c r="K21" s="35" t="s">
        <v>107</v>
      </c>
      <c r="L21" s="35" t="s">
        <v>107</v>
      </c>
      <c r="M21" s="35" t="s">
        <v>107</v>
      </c>
      <c r="N21" s="35" t="s">
        <v>107</v>
      </c>
      <c r="O21" s="35" t="s">
        <v>107</v>
      </c>
      <c r="P21" s="35" t="s">
        <v>107</v>
      </c>
      <c r="Q21" s="35" t="s">
        <v>107</v>
      </c>
      <c r="R21" s="35" t="s">
        <v>107</v>
      </c>
      <c r="S21" s="35" t="s">
        <v>107</v>
      </c>
      <c r="T21" s="35" t="s">
        <v>107</v>
      </c>
      <c r="U21" s="35" t="s">
        <v>107</v>
      </c>
      <c r="V21" s="35" t="s">
        <v>107</v>
      </c>
      <c r="W21" s="35" t="s">
        <v>107</v>
      </c>
      <c r="X21" s="35" t="s">
        <v>107</v>
      </c>
      <c r="Y21" s="35" t="s">
        <v>107</v>
      </c>
      <c r="Z21" s="35" t="s">
        <v>107</v>
      </c>
      <c r="AA21" s="35" t="s">
        <v>107</v>
      </c>
      <c r="AB21" s="35" t="s">
        <v>107</v>
      </c>
      <c r="AC21" s="35" t="s">
        <v>107</v>
      </c>
      <c r="AD21" s="35" t="s">
        <v>107</v>
      </c>
      <c r="AE21" s="35" t="s">
        <v>107</v>
      </c>
      <c r="AF21" s="35" t="s">
        <v>107</v>
      </c>
      <c r="AG21" s="35" t="s">
        <v>107</v>
      </c>
      <c r="AH21" s="28"/>
      <c r="AI21" s="28"/>
      <c r="AJ21" s="35" t="s">
        <v>107</v>
      </c>
      <c r="AK21" s="35" t="s">
        <v>107</v>
      </c>
      <c r="AL21" s="35" t="s">
        <v>107</v>
      </c>
      <c r="AM21" s="35" t="s">
        <v>107</v>
      </c>
      <c r="AN21" s="35" t="s">
        <v>107</v>
      </c>
      <c r="AO21" s="35" t="s">
        <v>107</v>
      </c>
      <c r="AP21" s="35" t="s">
        <v>107</v>
      </c>
      <c r="AQ21" s="35" t="s">
        <v>107</v>
      </c>
      <c r="AR21" s="35" t="s">
        <v>107</v>
      </c>
      <c r="AS21" s="35" t="s">
        <v>107</v>
      </c>
      <c r="AT21" s="35" t="s">
        <v>107</v>
      </c>
      <c r="AU21" s="35" t="s">
        <v>107</v>
      </c>
      <c r="AV21" s="35" t="s">
        <v>107</v>
      </c>
      <c r="AW21" s="35" t="s">
        <v>107</v>
      </c>
      <c r="AX21" s="35" t="s">
        <v>107</v>
      </c>
      <c r="AY21" s="35" t="s">
        <v>107</v>
      </c>
      <c r="AZ21" s="35" t="s">
        <v>107</v>
      </c>
      <c r="BA21" s="35" t="s">
        <v>107</v>
      </c>
      <c r="BB21" s="35" t="s">
        <v>107</v>
      </c>
      <c r="BC21" s="28"/>
      <c r="BD21" s="28"/>
      <c r="BE21" s="25">
        <f t="shared" si="1"/>
        <v>24</v>
      </c>
    </row>
    <row r="22" ht="15.75" customHeight="1">
      <c r="A22" s="21" t="s">
        <v>49</v>
      </c>
      <c r="B22" s="22" t="s">
        <v>151</v>
      </c>
      <c r="C22" s="21" t="s">
        <v>125</v>
      </c>
      <c r="D22" s="21">
        <v>0.5</v>
      </c>
      <c r="E22" s="28"/>
      <c r="F22" s="35" t="s">
        <v>107</v>
      </c>
      <c r="G22" s="28"/>
      <c r="H22" s="28"/>
      <c r="I22" s="28"/>
      <c r="J22" s="35" t="s">
        <v>107</v>
      </c>
      <c r="K22" s="28"/>
      <c r="L22" s="28"/>
      <c r="M22" s="28"/>
      <c r="N22" s="28"/>
      <c r="O22" s="35" t="s">
        <v>107</v>
      </c>
      <c r="P22" s="28"/>
      <c r="Q22" s="28"/>
      <c r="R22" s="28"/>
      <c r="S22" s="35" t="s">
        <v>107</v>
      </c>
      <c r="T22" s="28"/>
      <c r="U22" s="28"/>
      <c r="V22" s="28"/>
      <c r="W22" s="35" t="s">
        <v>107</v>
      </c>
      <c r="X22" s="28"/>
      <c r="Y22" s="28"/>
      <c r="Z22" s="28"/>
      <c r="AA22" s="28"/>
      <c r="AB22" s="35" t="s">
        <v>107</v>
      </c>
      <c r="AC22" s="28"/>
      <c r="AD22" s="28"/>
      <c r="AE22" s="28"/>
      <c r="AF22" s="35" t="s">
        <v>107</v>
      </c>
      <c r="AG22" s="28"/>
      <c r="AH22" s="28"/>
      <c r="AI22" s="28"/>
      <c r="AJ22" s="35" t="s">
        <v>107</v>
      </c>
      <c r="AK22" s="28"/>
      <c r="AL22" s="28"/>
      <c r="AM22" s="28"/>
      <c r="AN22" s="28"/>
      <c r="AO22" s="35" t="s">
        <v>107</v>
      </c>
      <c r="AP22" s="28"/>
      <c r="AQ22" s="28"/>
      <c r="AR22" s="28"/>
      <c r="AS22" s="35" t="s">
        <v>107</v>
      </c>
      <c r="AT22" s="28"/>
      <c r="AU22" s="28"/>
      <c r="AV22" s="28"/>
      <c r="AW22" s="35" t="s">
        <v>107</v>
      </c>
      <c r="AX22" s="28"/>
      <c r="AY22" s="28"/>
      <c r="AZ22" s="28"/>
      <c r="BA22" s="28"/>
      <c r="BB22" s="35" t="s">
        <v>107</v>
      </c>
      <c r="BC22" s="28"/>
      <c r="BD22" s="28"/>
      <c r="BE22" s="25">
        <f t="shared" si="1"/>
        <v>6</v>
      </c>
    </row>
    <row r="23" ht="15.75" customHeight="1">
      <c r="A23" s="18" t="s">
        <v>49</v>
      </c>
      <c r="B23" s="19" t="s">
        <v>154</v>
      </c>
      <c r="C23" s="18" t="s">
        <v>110</v>
      </c>
      <c r="D23" s="18">
        <v>1.0</v>
      </c>
      <c r="E23" s="28"/>
      <c r="F23" s="35" t="s">
        <v>107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5" t="s">
        <v>107</v>
      </c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35" t="s">
        <v>107</v>
      </c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35" t="s">
        <v>107</v>
      </c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5">
        <f t="shared" si="1"/>
        <v>4</v>
      </c>
    </row>
    <row r="24" ht="15.75" customHeight="1">
      <c r="A24" s="21" t="s">
        <v>49</v>
      </c>
      <c r="B24" s="22" t="s">
        <v>156</v>
      </c>
      <c r="C24" s="21" t="s">
        <v>118</v>
      </c>
      <c r="D24" s="21">
        <v>3.0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35" t="s">
        <v>107</v>
      </c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5">
        <f t="shared" si="1"/>
        <v>3</v>
      </c>
    </row>
    <row r="25" ht="15.75" customHeight="1">
      <c r="A25" s="18" t="s">
        <v>53</v>
      </c>
      <c r="B25" s="19" t="s">
        <v>159</v>
      </c>
      <c r="C25" s="18" t="s">
        <v>104</v>
      </c>
      <c r="D25" s="18">
        <v>0.5</v>
      </c>
      <c r="E25" s="35" t="s">
        <v>107</v>
      </c>
      <c r="F25" s="35" t="s">
        <v>107</v>
      </c>
      <c r="G25" s="35" t="s">
        <v>107</v>
      </c>
      <c r="H25" s="35" t="s">
        <v>107</v>
      </c>
      <c r="I25" s="35" t="s">
        <v>107</v>
      </c>
      <c r="J25" s="35" t="s">
        <v>107</v>
      </c>
      <c r="K25" s="35" t="s">
        <v>107</v>
      </c>
      <c r="L25" s="35" t="s">
        <v>107</v>
      </c>
      <c r="M25" s="35" t="s">
        <v>107</v>
      </c>
      <c r="N25" s="35" t="s">
        <v>107</v>
      </c>
      <c r="O25" s="35" t="s">
        <v>107</v>
      </c>
      <c r="P25" s="35" t="s">
        <v>107</v>
      </c>
      <c r="Q25" s="35" t="s">
        <v>107</v>
      </c>
      <c r="R25" s="35" t="s">
        <v>107</v>
      </c>
      <c r="S25" s="35" t="s">
        <v>107</v>
      </c>
      <c r="T25" s="35" t="s">
        <v>107</v>
      </c>
      <c r="U25" s="35" t="s">
        <v>107</v>
      </c>
      <c r="V25" s="35" t="s">
        <v>107</v>
      </c>
      <c r="W25" s="35" t="s">
        <v>107</v>
      </c>
      <c r="X25" s="35" t="s">
        <v>107</v>
      </c>
      <c r="Y25" s="35" t="s">
        <v>107</v>
      </c>
      <c r="Z25" s="35" t="s">
        <v>107</v>
      </c>
      <c r="AA25" s="35" t="s">
        <v>107</v>
      </c>
      <c r="AB25" s="35" t="s">
        <v>107</v>
      </c>
      <c r="AC25" s="35" t="s">
        <v>107</v>
      </c>
      <c r="AD25" s="35" t="s">
        <v>107</v>
      </c>
      <c r="AE25" s="35" t="s">
        <v>107</v>
      </c>
      <c r="AF25" s="35" t="s">
        <v>107</v>
      </c>
      <c r="AG25" s="35" t="s">
        <v>107</v>
      </c>
      <c r="AH25" s="28"/>
      <c r="AI25" s="28"/>
      <c r="AJ25" s="35" t="s">
        <v>107</v>
      </c>
      <c r="AK25" s="35" t="s">
        <v>107</v>
      </c>
      <c r="AL25" s="35" t="s">
        <v>107</v>
      </c>
      <c r="AM25" s="35" t="s">
        <v>107</v>
      </c>
      <c r="AN25" s="35" t="s">
        <v>107</v>
      </c>
      <c r="AO25" s="35" t="s">
        <v>107</v>
      </c>
      <c r="AP25" s="35" t="s">
        <v>107</v>
      </c>
      <c r="AQ25" s="35" t="s">
        <v>107</v>
      </c>
      <c r="AR25" s="35" t="s">
        <v>107</v>
      </c>
      <c r="AS25" s="35" t="s">
        <v>107</v>
      </c>
      <c r="AT25" s="35" t="s">
        <v>107</v>
      </c>
      <c r="AU25" s="35" t="s">
        <v>107</v>
      </c>
      <c r="AV25" s="35" t="s">
        <v>107</v>
      </c>
      <c r="AW25" s="35" t="s">
        <v>107</v>
      </c>
      <c r="AX25" s="35" t="s">
        <v>107</v>
      </c>
      <c r="AY25" s="35" t="s">
        <v>107</v>
      </c>
      <c r="AZ25" s="35" t="s">
        <v>107</v>
      </c>
      <c r="BA25" s="35" t="s">
        <v>107</v>
      </c>
      <c r="BB25" s="35" t="s">
        <v>107</v>
      </c>
      <c r="BC25" s="28"/>
      <c r="BD25" s="28"/>
      <c r="BE25" s="25">
        <f t="shared" si="1"/>
        <v>24</v>
      </c>
    </row>
    <row r="26" ht="15.75" customHeight="1">
      <c r="A26" s="21" t="s">
        <v>53</v>
      </c>
      <c r="B26" s="22" t="s">
        <v>160</v>
      </c>
      <c r="C26" s="21" t="s">
        <v>125</v>
      </c>
      <c r="D26" s="21">
        <v>0.75</v>
      </c>
      <c r="E26" s="28"/>
      <c r="F26" s="35" t="s">
        <v>107</v>
      </c>
      <c r="G26" s="28"/>
      <c r="H26" s="28"/>
      <c r="I26" s="28"/>
      <c r="J26" s="35" t="s">
        <v>107</v>
      </c>
      <c r="K26" s="28"/>
      <c r="L26" s="28"/>
      <c r="M26" s="28"/>
      <c r="N26" s="28"/>
      <c r="O26" s="35" t="s">
        <v>107</v>
      </c>
      <c r="P26" s="28"/>
      <c r="Q26" s="28"/>
      <c r="R26" s="28"/>
      <c r="S26" s="35" t="s">
        <v>107</v>
      </c>
      <c r="T26" s="28"/>
      <c r="U26" s="28"/>
      <c r="V26" s="28"/>
      <c r="W26" s="35" t="s">
        <v>107</v>
      </c>
      <c r="X26" s="28"/>
      <c r="Y26" s="28"/>
      <c r="Z26" s="28"/>
      <c r="AA26" s="28"/>
      <c r="AB26" s="35" t="s">
        <v>107</v>
      </c>
      <c r="AC26" s="28"/>
      <c r="AD26" s="28"/>
      <c r="AE26" s="28"/>
      <c r="AF26" s="35" t="s">
        <v>107</v>
      </c>
      <c r="AG26" s="28"/>
      <c r="AH26" s="28"/>
      <c r="AI26" s="28"/>
      <c r="AJ26" s="35" t="s">
        <v>107</v>
      </c>
      <c r="AK26" s="28"/>
      <c r="AL26" s="28"/>
      <c r="AM26" s="28"/>
      <c r="AN26" s="28"/>
      <c r="AO26" s="35" t="s">
        <v>107</v>
      </c>
      <c r="AP26" s="28"/>
      <c r="AQ26" s="28"/>
      <c r="AR26" s="28"/>
      <c r="AS26" s="35" t="s">
        <v>107</v>
      </c>
      <c r="AT26" s="28"/>
      <c r="AU26" s="28"/>
      <c r="AV26" s="28"/>
      <c r="AW26" s="35" t="s">
        <v>107</v>
      </c>
      <c r="AX26" s="28"/>
      <c r="AY26" s="28"/>
      <c r="AZ26" s="28"/>
      <c r="BA26" s="28"/>
      <c r="BB26" s="35" t="s">
        <v>107</v>
      </c>
      <c r="BC26" s="28"/>
      <c r="BD26" s="28"/>
      <c r="BE26" s="25">
        <f t="shared" si="1"/>
        <v>9</v>
      </c>
    </row>
    <row r="27" ht="15.75" customHeight="1">
      <c r="A27" s="18" t="s">
        <v>53</v>
      </c>
      <c r="B27" s="19" t="s">
        <v>161</v>
      </c>
      <c r="C27" s="18" t="s">
        <v>118</v>
      </c>
      <c r="D27" s="18">
        <v>3.0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35" t="s">
        <v>107</v>
      </c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5">
        <f t="shared" si="1"/>
        <v>3</v>
      </c>
    </row>
    <row r="28" ht="15.75" customHeight="1">
      <c r="A28" s="21" t="s">
        <v>56</v>
      </c>
      <c r="B28" s="22" t="s">
        <v>163</v>
      </c>
      <c r="C28" s="21" t="s">
        <v>125</v>
      </c>
      <c r="D28" s="21">
        <v>0.25</v>
      </c>
      <c r="E28" s="28"/>
      <c r="F28" s="35" t="s">
        <v>107</v>
      </c>
      <c r="G28" s="28"/>
      <c r="H28" s="28"/>
      <c r="I28" s="28"/>
      <c r="J28" s="35" t="s">
        <v>107</v>
      </c>
      <c r="K28" s="28"/>
      <c r="L28" s="28"/>
      <c r="M28" s="28"/>
      <c r="N28" s="28"/>
      <c r="O28" s="35" t="s">
        <v>107</v>
      </c>
      <c r="P28" s="28"/>
      <c r="Q28" s="28"/>
      <c r="R28" s="28"/>
      <c r="S28" s="35" t="s">
        <v>107</v>
      </c>
      <c r="T28" s="28"/>
      <c r="U28" s="28"/>
      <c r="V28" s="28"/>
      <c r="W28" s="35" t="s">
        <v>107</v>
      </c>
      <c r="X28" s="28"/>
      <c r="Y28" s="28"/>
      <c r="Z28" s="28"/>
      <c r="AA28" s="28"/>
      <c r="AB28" s="35" t="s">
        <v>107</v>
      </c>
      <c r="AC28" s="28"/>
      <c r="AD28" s="28"/>
      <c r="AE28" s="28"/>
      <c r="AF28" s="35" t="s">
        <v>107</v>
      </c>
      <c r="AG28" s="28"/>
      <c r="AH28" s="28"/>
      <c r="AI28" s="28"/>
      <c r="AJ28" s="35" t="s">
        <v>107</v>
      </c>
      <c r="AK28" s="28"/>
      <c r="AL28" s="28"/>
      <c r="AM28" s="28"/>
      <c r="AN28" s="28"/>
      <c r="AO28" s="35" t="s">
        <v>107</v>
      </c>
      <c r="AP28" s="28"/>
      <c r="AQ28" s="28"/>
      <c r="AR28" s="28"/>
      <c r="AS28" s="35" t="s">
        <v>107</v>
      </c>
      <c r="AT28" s="28"/>
      <c r="AU28" s="28"/>
      <c r="AV28" s="28"/>
      <c r="AW28" s="35" t="s">
        <v>107</v>
      </c>
      <c r="AX28" s="28"/>
      <c r="AY28" s="28"/>
      <c r="AZ28" s="28"/>
      <c r="BA28" s="28"/>
      <c r="BB28" s="35" t="s">
        <v>107</v>
      </c>
      <c r="BC28" s="28"/>
      <c r="BD28" s="28"/>
      <c r="BE28" s="25">
        <f t="shared" si="1"/>
        <v>3</v>
      </c>
    </row>
    <row r="29" ht="15.75" customHeight="1">
      <c r="A29" s="18" t="s">
        <v>56</v>
      </c>
      <c r="B29" s="19" t="s">
        <v>165</v>
      </c>
      <c r="C29" s="18" t="s">
        <v>118</v>
      </c>
      <c r="D29" s="18">
        <v>0.5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35" t="s">
        <v>107</v>
      </c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5">
        <f t="shared" si="1"/>
        <v>0.5</v>
      </c>
    </row>
    <row r="30" ht="15.75" customHeight="1">
      <c r="A30" s="21" t="s">
        <v>60</v>
      </c>
      <c r="B30" s="22" t="s">
        <v>168</v>
      </c>
      <c r="C30" s="21" t="s">
        <v>118</v>
      </c>
      <c r="D30" s="21">
        <v>1.0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35" t="s">
        <v>107</v>
      </c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5">
        <f t="shared" si="1"/>
        <v>1</v>
      </c>
    </row>
    <row r="31" ht="15.75" customHeight="1">
      <c r="A31" s="18" t="s">
        <v>63</v>
      </c>
      <c r="B31" s="19" t="s">
        <v>170</v>
      </c>
      <c r="C31" s="18" t="s">
        <v>110</v>
      </c>
      <c r="D31" s="18">
        <v>0.5</v>
      </c>
      <c r="E31" s="28"/>
      <c r="F31" s="35" t="s">
        <v>107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35" t="s">
        <v>107</v>
      </c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35" t="s">
        <v>107</v>
      </c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35" t="s">
        <v>107</v>
      </c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5">
        <f t="shared" si="1"/>
        <v>2</v>
      </c>
    </row>
    <row r="32" ht="15.75" customHeight="1">
      <c r="A32" s="21" t="s">
        <v>63</v>
      </c>
      <c r="B32" s="22" t="s">
        <v>172</v>
      </c>
      <c r="C32" s="21" t="s">
        <v>114</v>
      </c>
      <c r="D32" s="21">
        <v>0.5</v>
      </c>
      <c r="E32" s="28"/>
      <c r="F32" s="35" t="s">
        <v>107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35" t="s">
        <v>107</v>
      </c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5">
        <f t="shared" si="1"/>
        <v>1</v>
      </c>
    </row>
    <row r="33" ht="15.75" customHeight="1">
      <c r="A33" s="18" t="s">
        <v>67</v>
      </c>
      <c r="B33" s="19" t="s">
        <v>174</v>
      </c>
      <c r="C33" s="18" t="s">
        <v>125</v>
      </c>
      <c r="D33" s="18">
        <v>0.5</v>
      </c>
      <c r="E33" s="28"/>
      <c r="F33" s="35" t="s">
        <v>107</v>
      </c>
      <c r="G33" s="28"/>
      <c r="H33" s="28"/>
      <c r="I33" s="28"/>
      <c r="J33" s="35" t="s">
        <v>107</v>
      </c>
      <c r="K33" s="28"/>
      <c r="L33" s="28"/>
      <c r="M33" s="28"/>
      <c r="N33" s="28"/>
      <c r="O33" s="35" t="s">
        <v>107</v>
      </c>
      <c r="P33" s="28"/>
      <c r="Q33" s="28"/>
      <c r="R33" s="28"/>
      <c r="S33" s="35" t="s">
        <v>107</v>
      </c>
      <c r="T33" s="28"/>
      <c r="U33" s="28"/>
      <c r="V33" s="28"/>
      <c r="W33" s="35" t="s">
        <v>107</v>
      </c>
      <c r="X33" s="28"/>
      <c r="Y33" s="28"/>
      <c r="Z33" s="28"/>
      <c r="AA33" s="28"/>
      <c r="AB33" s="35" t="s">
        <v>107</v>
      </c>
      <c r="AC33" s="28"/>
      <c r="AD33" s="28"/>
      <c r="AE33" s="28"/>
      <c r="AF33" s="35" t="s">
        <v>107</v>
      </c>
      <c r="AG33" s="28"/>
      <c r="AH33" s="28"/>
      <c r="AI33" s="28"/>
      <c r="AJ33" s="35" t="s">
        <v>107</v>
      </c>
      <c r="AK33" s="28"/>
      <c r="AL33" s="28"/>
      <c r="AM33" s="28"/>
      <c r="AN33" s="28"/>
      <c r="AO33" s="35" t="s">
        <v>107</v>
      </c>
      <c r="AP33" s="28"/>
      <c r="AQ33" s="28"/>
      <c r="AR33" s="28"/>
      <c r="AS33" s="35" t="s">
        <v>107</v>
      </c>
      <c r="AT33" s="28"/>
      <c r="AU33" s="28"/>
      <c r="AV33" s="28"/>
      <c r="AW33" s="35" t="s">
        <v>107</v>
      </c>
      <c r="AX33" s="28"/>
      <c r="AY33" s="28"/>
      <c r="AZ33" s="28"/>
      <c r="BA33" s="28"/>
      <c r="BB33" s="35" t="s">
        <v>107</v>
      </c>
      <c r="BC33" s="28"/>
      <c r="BD33" s="28"/>
      <c r="BE33" s="25">
        <f t="shared" si="1"/>
        <v>6</v>
      </c>
    </row>
    <row r="34" ht="15.75" customHeight="1">
      <c r="A34" s="21" t="s">
        <v>67</v>
      </c>
      <c r="B34" s="22" t="s">
        <v>146</v>
      </c>
      <c r="C34" s="21" t="s">
        <v>114</v>
      </c>
      <c r="D34" s="21">
        <v>0.5</v>
      </c>
      <c r="E34" s="28"/>
      <c r="F34" s="35" t="s">
        <v>107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35" t="s">
        <v>107</v>
      </c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5">
        <f t="shared" si="1"/>
        <v>1</v>
      </c>
    </row>
    <row r="35" ht="15.75" customHeight="1">
      <c r="A35" s="18" t="s">
        <v>69</v>
      </c>
      <c r="B35" s="19" t="s">
        <v>177</v>
      </c>
      <c r="C35" s="18" t="s">
        <v>125</v>
      </c>
      <c r="D35" s="18">
        <v>0.5</v>
      </c>
      <c r="E35" s="28"/>
      <c r="F35" s="35" t="s">
        <v>107</v>
      </c>
      <c r="G35" s="28"/>
      <c r="H35" s="28"/>
      <c r="I35" s="28"/>
      <c r="J35" s="35" t="s">
        <v>107</v>
      </c>
      <c r="K35" s="28"/>
      <c r="L35" s="28"/>
      <c r="M35" s="28"/>
      <c r="N35" s="28"/>
      <c r="O35" s="35" t="s">
        <v>107</v>
      </c>
      <c r="P35" s="28"/>
      <c r="Q35" s="28"/>
      <c r="R35" s="28"/>
      <c r="S35" s="35" t="s">
        <v>107</v>
      </c>
      <c r="T35" s="28"/>
      <c r="U35" s="28"/>
      <c r="V35" s="28"/>
      <c r="W35" s="35" t="s">
        <v>107</v>
      </c>
      <c r="X35" s="28"/>
      <c r="Y35" s="28"/>
      <c r="Z35" s="28"/>
      <c r="AA35" s="28"/>
      <c r="AB35" s="35" t="s">
        <v>107</v>
      </c>
      <c r="AC35" s="28"/>
      <c r="AD35" s="28"/>
      <c r="AE35" s="28"/>
      <c r="AF35" s="35" t="s">
        <v>107</v>
      </c>
      <c r="AG35" s="28"/>
      <c r="AH35" s="28"/>
      <c r="AI35" s="28"/>
      <c r="AJ35" s="35" t="s">
        <v>107</v>
      </c>
      <c r="AK35" s="28"/>
      <c r="AL35" s="28"/>
      <c r="AM35" s="28"/>
      <c r="AN35" s="28"/>
      <c r="AO35" s="35" t="s">
        <v>107</v>
      </c>
      <c r="AP35" s="28"/>
      <c r="AQ35" s="28"/>
      <c r="AR35" s="28"/>
      <c r="AS35" s="35" t="s">
        <v>107</v>
      </c>
      <c r="AT35" s="28"/>
      <c r="AU35" s="28"/>
      <c r="AV35" s="28"/>
      <c r="AW35" s="35" t="s">
        <v>107</v>
      </c>
      <c r="AX35" s="28"/>
      <c r="AY35" s="28"/>
      <c r="AZ35" s="28"/>
      <c r="BA35" s="28"/>
      <c r="BB35" s="35" t="s">
        <v>107</v>
      </c>
      <c r="BC35" s="28"/>
      <c r="BD35" s="28"/>
      <c r="BE35" s="25">
        <f t="shared" si="1"/>
        <v>6</v>
      </c>
    </row>
    <row r="36" ht="15.75" customHeight="1">
      <c r="A36" s="21" t="s">
        <v>69</v>
      </c>
      <c r="B36" s="22" t="s">
        <v>179</v>
      </c>
      <c r="C36" s="21" t="s">
        <v>118</v>
      </c>
      <c r="D36" s="21">
        <v>1.0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35" t="s">
        <v>107</v>
      </c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5">
        <f t="shared" si="1"/>
        <v>1</v>
      </c>
    </row>
    <row r="37" ht="15.75" customHeight="1">
      <c r="A37" s="18" t="s">
        <v>73</v>
      </c>
      <c r="B37" s="19" t="s">
        <v>181</v>
      </c>
      <c r="C37" s="18" t="s">
        <v>125</v>
      </c>
      <c r="D37" s="18">
        <v>0.25</v>
      </c>
      <c r="E37" s="28"/>
      <c r="F37" s="35" t="s">
        <v>107</v>
      </c>
      <c r="G37" s="28"/>
      <c r="H37" s="28"/>
      <c r="I37" s="28"/>
      <c r="J37" s="35" t="s">
        <v>107</v>
      </c>
      <c r="K37" s="28"/>
      <c r="L37" s="28"/>
      <c r="M37" s="28"/>
      <c r="N37" s="28"/>
      <c r="O37" s="35" t="s">
        <v>107</v>
      </c>
      <c r="P37" s="28"/>
      <c r="Q37" s="28"/>
      <c r="R37" s="28"/>
      <c r="S37" s="35" t="s">
        <v>107</v>
      </c>
      <c r="T37" s="28"/>
      <c r="U37" s="28"/>
      <c r="V37" s="28"/>
      <c r="W37" s="35" t="s">
        <v>107</v>
      </c>
      <c r="X37" s="28"/>
      <c r="Y37" s="28"/>
      <c r="Z37" s="28"/>
      <c r="AA37" s="28"/>
      <c r="AB37" s="35" t="s">
        <v>107</v>
      </c>
      <c r="AC37" s="28"/>
      <c r="AD37" s="28"/>
      <c r="AE37" s="28"/>
      <c r="AF37" s="35" t="s">
        <v>107</v>
      </c>
      <c r="AG37" s="28"/>
      <c r="AH37" s="28"/>
      <c r="AI37" s="28"/>
      <c r="AJ37" s="35" t="s">
        <v>107</v>
      </c>
      <c r="AK37" s="28"/>
      <c r="AL37" s="28"/>
      <c r="AM37" s="28"/>
      <c r="AN37" s="28"/>
      <c r="AO37" s="35" t="s">
        <v>107</v>
      </c>
      <c r="AP37" s="28"/>
      <c r="AQ37" s="28"/>
      <c r="AR37" s="28"/>
      <c r="AS37" s="35" t="s">
        <v>107</v>
      </c>
      <c r="AT37" s="28"/>
      <c r="AU37" s="28"/>
      <c r="AV37" s="28"/>
      <c r="AW37" s="35" t="s">
        <v>107</v>
      </c>
      <c r="AX37" s="28"/>
      <c r="AY37" s="28"/>
      <c r="AZ37" s="28"/>
      <c r="BA37" s="28"/>
      <c r="BB37" s="35" t="s">
        <v>107</v>
      </c>
      <c r="BC37" s="28"/>
      <c r="BD37" s="28"/>
      <c r="BE37" s="25">
        <f t="shared" si="1"/>
        <v>3</v>
      </c>
    </row>
    <row r="38" ht="15.75" customHeight="1">
      <c r="A38" s="21" t="s">
        <v>73</v>
      </c>
      <c r="B38" s="22" t="s">
        <v>183</v>
      </c>
      <c r="C38" s="21" t="s">
        <v>110</v>
      </c>
      <c r="D38" s="21">
        <v>0.5</v>
      </c>
      <c r="E38" s="28"/>
      <c r="F38" s="35" t="s">
        <v>107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35" t="s">
        <v>107</v>
      </c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5" t="s">
        <v>107</v>
      </c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35" t="s">
        <v>107</v>
      </c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5">
        <f t="shared" si="1"/>
        <v>2</v>
      </c>
    </row>
    <row r="39" ht="15.75" customHeight="1">
      <c r="A39" s="18" t="s">
        <v>73</v>
      </c>
      <c r="B39" s="19" t="s">
        <v>185</v>
      </c>
      <c r="C39" s="18" t="s">
        <v>118</v>
      </c>
      <c r="D39" s="18">
        <v>1.0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35" t="s">
        <v>107</v>
      </c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5">
        <f t="shared" si="1"/>
        <v>1</v>
      </c>
    </row>
    <row r="40" ht="15.75" customHeight="1">
      <c r="A40" s="21" t="s">
        <v>76</v>
      </c>
      <c r="B40" s="22" t="s">
        <v>188</v>
      </c>
      <c r="C40" s="21" t="s">
        <v>125</v>
      </c>
      <c r="D40" s="21">
        <v>0.5</v>
      </c>
      <c r="E40" s="28"/>
      <c r="F40" s="35" t="s">
        <v>107</v>
      </c>
      <c r="G40" s="28"/>
      <c r="H40" s="28"/>
      <c r="I40" s="28"/>
      <c r="J40" s="35" t="s">
        <v>107</v>
      </c>
      <c r="K40" s="28"/>
      <c r="L40" s="28"/>
      <c r="M40" s="28"/>
      <c r="N40" s="28"/>
      <c r="O40" s="35" t="s">
        <v>107</v>
      </c>
      <c r="P40" s="28"/>
      <c r="Q40" s="28"/>
      <c r="R40" s="28"/>
      <c r="S40" s="35" t="s">
        <v>107</v>
      </c>
      <c r="T40" s="28"/>
      <c r="U40" s="28"/>
      <c r="V40" s="28"/>
      <c r="W40" s="35" t="s">
        <v>107</v>
      </c>
      <c r="X40" s="28"/>
      <c r="Y40" s="28"/>
      <c r="Z40" s="28"/>
      <c r="AA40" s="28"/>
      <c r="AB40" s="35" t="s">
        <v>107</v>
      </c>
      <c r="AC40" s="28"/>
      <c r="AD40" s="28"/>
      <c r="AE40" s="28"/>
      <c r="AF40" s="35" t="s">
        <v>107</v>
      </c>
      <c r="AG40" s="28"/>
      <c r="AH40" s="28"/>
      <c r="AI40" s="28"/>
      <c r="AJ40" s="35" t="s">
        <v>107</v>
      </c>
      <c r="AK40" s="28"/>
      <c r="AL40" s="28"/>
      <c r="AM40" s="28"/>
      <c r="AN40" s="28"/>
      <c r="AO40" s="35" t="s">
        <v>107</v>
      </c>
      <c r="AP40" s="28"/>
      <c r="AQ40" s="28"/>
      <c r="AR40" s="28"/>
      <c r="AS40" s="35" t="s">
        <v>107</v>
      </c>
      <c r="AT40" s="28"/>
      <c r="AU40" s="28"/>
      <c r="AV40" s="28"/>
      <c r="AW40" s="35" t="s">
        <v>107</v>
      </c>
      <c r="AX40" s="28"/>
      <c r="AY40" s="28"/>
      <c r="AZ40" s="28"/>
      <c r="BA40" s="28"/>
      <c r="BB40" s="35" t="s">
        <v>107</v>
      </c>
      <c r="BC40" s="28"/>
      <c r="BD40" s="28"/>
      <c r="BE40" s="25">
        <f t="shared" si="1"/>
        <v>6</v>
      </c>
    </row>
    <row r="41" ht="15.75" customHeight="1">
      <c r="A41" s="18" t="s">
        <v>76</v>
      </c>
      <c r="B41" s="19" t="s">
        <v>190</v>
      </c>
      <c r="C41" s="18" t="s">
        <v>114</v>
      </c>
      <c r="D41" s="18">
        <v>0.5</v>
      </c>
      <c r="E41" s="28"/>
      <c r="F41" s="35" t="s">
        <v>107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35" t="s">
        <v>107</v>
      </c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5">
        <f t="shared" si="1"/>
        <v>1</v>
      </c>
    </row>
    <row r="42" ht="15.0" customHeight="1">
      <c r="A42" s="36" t="s">
        <v>251</v>
      </c>
      <c r="B42" s="14"/>
      <c r="C42" s="14"/>
      <c r="D42" s="30"/>
      <c r="E42" s="37">
        <f t="shared" ref="E42:BD42" si="2">SUMPRODUCT((E5:E41="X")*$D$5:$D$41)</f>
        <v>2.25</v>
      </c>
      <c r="F42" s="37">
        <f t="shared" si="2"/>
        <v>15.75</v>
      </c>
      <c r="G42" s="37">
        <f t="shared" si="2"/>
        <v>2.25</v>
      </c>
      <c r="H42" s="37">
        <f t="shared" si="2"/>
        <v>2.25</v>
      </c>
      <c r="I42" s="37">
        <f t="shared" si="2"/>
        <v>2.25</v>
      </c>
      <c r="J42" s="37">
        <f t="shared" si="2"/>
        <v>7.25</v>
      </c>
      <c r="K42" s="37">
        <f t="shared" si="2"/>
        <v>2.25</v>
      </c>
      <c r="L42" s="37">
        <f t="shared" si="2"/>
        <v>2.25</v>
      </c>
      <c r="M42" s="37">
        <f t="shared" si="2"/>
        <v>2.25</v>
      </c>
      <c r="N42" s="37">
        <f t="shared" si="2"/>
        <v>2.25</v>
      </c>
      <c r="O42" s="37">
        <f t="shared" si="2"/>
        <v>7.25</v>
      </c>
      <c r="P42" s="37">
        <f t="shared" si="2"/>
        <v>2.25</v>
      </c>
      <c r="Q42" s="37">
        <f t="shared" si="2"/>
        <v>2.25</v>
      </c>
      <c r="R42" s="37">
        <f t="shared" si="2"/>
        <v>2.25</v>
      </c>
      <c r="S42" s="37">
        <f t="shared" si="2"/>
        <v>11.25</v>
      </c>
      <c r="T42" s="37">
        <f t="shared" si="2"/>
        <v>2.25</v>
      </c>
      <c r="U42" s="37">
        <f t="shared" si="2"/>
        <v>2.25</v>
      </c>
      <c r="V42" s="37">
        <f t="shared" si="2"/>
        <v>2.25</v>
      </c>
      <c r="W42" s="37">
        <f t="shared" si="2"/>
        <v>7.25</v>
      </c>
      <c r="X42" s="37">
        <f t="shared" si="2"/>
        <v>2.25</v>
      </c>
      <c r="Y42" s="37">
        <f t="shared" si="2"/>
        <v>2.25</v>
      </c>
      <c r="Z42" s="37">
        <f t="shared" si="2"/>
        <v>2.25</v>
      </c>
      <c r="AA42" s="37">
        <f t="shared" si="2"/>
        <v>2.25</v>
      </c>
      <c r="AB42" s="37">
        <f t="shared" si="2"/>
        <v>7.25</v>
      </c>
      <c r="AC42" s="37">
        <f t="shared" si="2"/>
        <v>2.25</v>
      </c>
      <c r="AD42" s="37">
        <f t="shared" si="2"/>
        <v>2.25</v>
      </c>
      <c r="AE42" s="37">
        <f t="shared" si="2"/>
        <v>2.25</v>
      </c>
      <c r="AF42" s="37">
        <f t="shared" si="2"/>
        <v>15.75</v>
      </c>
      <c r="AG42" s="37">
        <f t="shared" si="2"/>
        <v>2.25</v>
      </c>
      <c r="AH42" s="37">
        <f t="shared" si="2"/>
        <v>0</v>
      </c>
      <c r="AI42" s="37">
        <f t="shared" si="2"/>
        <v>0</v>
      </c>
      <c r="AJ42" s="37">
        <f t="shared" si="2"/>
        <v>18.75</v>
      </c>
      <c r="AK42" s="37">
        <f t="shared" si="2"/>
        <v>2.25</v>
      </c>
      <c r="AL42" s="37">
        <f t="shared" si="2"/>
        <v>2.25</v>
      </c>
      <c r="AM42" s="37">
        <f t="shared" si="2"/>
        <v>2.25</v>
      </c>
      <c r="AN42" s="37">
        <f t="shared" si="2"/>
        <v>2.25</v>
      </c>
      <c r="AO42" s="37">
        <f t="shared" si="2"/>
        <v>7.25</v>
      </c>
      <c r="AP42" s="37">
        <f t="shared" si="2"/>
        <v>2.25</v>
      </c>
      <c r="AQ42" s="37">
        <f t="shared" si="2"/>
        <v>2.25</v>
      </c>
      <c r="AR42" s="37">
        <f t="shared" si="2"/>
        <v>2.25</v>
      </c>
      <c r="AS42" s="37">
        <f t="shared" si="2"/>
        <v>11.25</v>
      </c>
      <c r="AT42" s="37">
        <f t="shared" si="2"/>
        <v>2.25</v>
      </c>
      <c r="AU42" s="37">
        <f t="shared" si="2"/>
        <v>2.25</v>
      </c>
      <c r="AV42" s="37">
        <f t="shared" si="2"/>
        <v>2.25</v>
      </c>
      <c r="AW42" s="37">
        <f t="shared" si="2"/>
        <v>7.25</v>
      </c>
      <c r="AX42" s="37">
        <f t="shared" si="2"/>
        <v>2.25</v>
      </c>
      <c r="AY42" s="37">
        <f t="shared" si="2"/>
        <v>2.25</v>
      </c>
      <c r="AZ42" s="37">
        <f t="shared" si="2"/>
        <v>2.25</v>
      </c>
      <c r="BA42" s="37">
        <f t="shared" si="2"/>
        <v>2.25</v>
      </c>
      <c r="BB42" s="37">
        <f t="shared" si="2"/>
        <v>7.25</v>
      </c>
      <c r="BC42" s="37">
        <f t="shared" si="2"/>
        <v>0</v>
      </c>
      <c r="BD42" s="37">
        <f t="shared" si="2"/>
        <v>0</v>
      </c>
      <c r="BE42" s="38">
        <f>SUM(BE5:BE41)</f>
        <v>204.5</v>
      </c>
    </row>
    <row r="43" ht="15.75" customHeight="1"/>
    <row r="44" ht="15.75" customHeight="1">
      <c r="A44" s="39" t="s">
        <v>252</v>
      </c>
      <c r="M44" s="40">
        <v>12.0</v>
      </c>
    </row>
    <row r="45" ht="15.75" customHeight="1">
      <c r="A45" s="39" t="s">
        <v>253</v>
      </c>
      <c r="M45" s="41">
        <f>COUNTIF(E42:BD42,"&gt;"&amp;$M$44)</f>
        <v>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E1"/>
    <mergeCell ref="A2:BE2"/>
    <mergeCell ref="A42:D42"/>
    <mergeCell ref="A44:L44"/>
    <mergeCell ref="A45:L4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1.0"/>
    <col customWidth="1" min="2" max="2" width="30.0"/>
    <col customWidth="1" min="3" max="3" width="13.0"/>
    <col customWidth="1" min="4" max="4" width="15.0"/>
    <col customWidth="1" min="5" max="5" width="16.0"/>
    <col customWidth="1" min="6" max="6" width="12.0"/>
    <col customWidth="1" min="7" max="7" width="11.0"/>
    <col customWidth="1" min="8" max="8" width="7.0"/>
    <col customWidth="1" min="9" max="9" width="8.0"/>
    <col customWidth="1" min="10" max="11" width="10.0"/>
    <col customWidth="1" min="12" max="12" width="12.0"/>
    <col customWidth="1" min="13" max="13" width="9.0"/>
    <col customWidth="1" min="14" max="14" width="14.0"/>
    <col customWidth="1" min="15" max="15" width="16.0"/>
    <col customWidth="1" min="16" max="16" width="15.0"/>
    <col customWidth="1" min="17" max="26" width="8.71"/>
  </cols>
  <sheetData>
    <row r="1" ht="33.75" customHeight="1">
      <c r="A1" s="15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9.5" customHeight="1">
      <c r="A2" s="16" t="s">
        <v>255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4" ht="33.75" customHeight="1">
      <c r="A4" s="17" t="s">
        <v>256</v>
      </c>
      <c r="B4" s="17" t="s">
        <v>257</v>
      </c>
      <c r="C4" s="17" t="s">
        <v>258</v>
      </c>
      <c r="D4" s="17" t="s">
        <v>259</v>
      </c>
      <c r="E4" s="17" t="s">
        <v>260</v>
      </c>
      <c r="F4" s="17" t="s">
        <v>261</v>
      </c>
      <c r="G4" s="17" t="s">
        <v>262</v>
      </c>
      <c r="H4" s="17" t="s">
        <v>263</v>
      </c>
      <c r="I4" s="17" t="s">
        <v>264</v>
      </c>
      <c r="J4" s="17" t="s">
        <v>265</v>
      </c>
      <c r="K4" s="17" t="s">
        <v>266</v>
      </c>
      <c r="L4" s="17" t="s">
        <v>267</v>
      </c>
      <c r="M4" s="17" t="s">
        <v>268</v>
      </c>
      <c r="N4" s="17" t="s">
        <v>269</v>
      </c>
      <c r="O4" s="17" t="s">
        <v>270</v>
      </c>
      <c r="P4" s="17" t="s">
        <v>271</v>
      </c>
    </row>
    <row r="5">
      <c r="A5" s="18" t="s">
        <v>272</v>
      </c>
      <c r="B5" s="19" t="s">
        <v>273</v>
      </c>
      <c r="C5" s="18" t="s">
        <v>274</v>
      </c>
      <c r="D5" s="19" t="s">
        <v>275</v>
      </c>
      <c r="E5" s="19" t="s">
        <v>276</v>
      </c>
      <c r="F5" s="18" t="s">
        <v>277</v>
      </c>
      <c r="G5" s="42">
        <v>25.0</v>
      </c>
      <c r="H5" s="18" t="s">
        <v>278</v>
      </c>
      <c r="I5" s="18">
        <v>12.0</v>
      </c>
      <c r="J5" s="18">
        <v>6.0</v>
      </c>
      <c r="K5" s="18">
        <v>20.0</v>
      </c>
      <c r="L5" s="18">
        <f t="shared" ref="L5:L34" si="1">IF(I5&lt;=J5,K5-I5,0)</f>
        <v>0</v>
      </c>
      <c r="M5" s="18">
        <v>5.0</v>
      </c>
      <c r="N5" s="19" t="s">
        <v>279</v>
      </c>
      <c r="O5" s="42">
        <f t="shared" ref="O5:O34" si="2">I5*G5</f>
        <v>300</v>
      </c>
      <c r="P5" s="18" t="str">
        <f t="shared" ref="P5:P34" si="3">IF(I5=0,"RUPTURE",IF(I5&lt;=J5,"À COMMANDER","OK"))</f>
        <v>OK</v>
      </c>
    </row>
    <row r="6">
      <c r="A6" s="21" t="s">
        <v>280</v>
      </c>
      <c r="B6" s="22" t="s">
        <v>281</v>
      </c>
      <c r="C6" s="21" t="s">
        <v>282</v>
      </c>
      <c r="D6" s="22" t="s">
        <v>275</v>
      </c>
      <c r="E6" s="22" t="s">
        <v>276</v>
      </c>
      <c r="F6" s="21" t="s">
        <v>283</v>
      </c>
      <c r="G6" s="43">
        <v>180.0</v>
      </c>
      <c r="H6" s="21" t="s">
        <v>278</v>
      </c>
      <c r="I6" s="21">
        <v>4.0</v>
      </c>
      <c r="J6" s="21">
        <v>3.0</v>
      </c>
      <c r="K6" s="21">
        <v>8.0</v>
      </c>
      <c r="L6" s="21">
        <f t="shared" si="1"/>
        <v>0</v>
      </c>
      <c r="M6" s="21">
        <v>7.0</v>
      </c>
      <c r="N6" s="22" t="s">
        <v>279</v>
      </c>
      <c r="O6" s="43">
        <f t="shared" si="2"/>
        <v>720</v>
      </c>
      <c r="P6" s="18" t="str">
        <f t="shared" si="3"/>
        <v>OK</v>
      </c>
    </row>
    <row r="7">
      <c r="A7" s="18" t="s">
        <v>284</v>
      </c>
      <c r="B7" s="19" t="s">
        <v>285</v>
      </c>
      <c r="C7" s="18" t="s">
        <v>274</v>
      </c>
      <c r="D7" s="19" t="s">
        <v>275</v>
      </c>
      <c r="E7" s="19" t="s">
        <v>276</v>
      </c>
      <c r="F7" s="18" t="s">
        <v>286</v>
      </c>
      <c r="G7" s="42">
        <v>45.0</v>
      </c>
      <c r="H7" s="18" t="s">
        <v>287</v>
      </c>
      <c r="I7" s="18">
        <v>3.0</v>
      </c>
      <c r="J7" s="18">
        <v>3.0</v>
      </c>
      <c r="K7" s="18">
        <v>10.0</v>
      </c>
      <c r="L7" s="18">
        <f t="shared" si="1"/>
        <v>7</v>
      </c>
      <c r="M7" s="18">
        <v>7.0</v>
      </c>
      <c r="N7" s="19" t="s">
        <v>279</v>
      </c>
      <c r="O7" s="42">
        <f t="shared" si="2"/>
        <v>135</v>
      </c>
      <c r="P7" s="18" t="str">
        <f t="shared" si="3"/>
        <v>À COMMANDER</v>
      </c>
    </row>
    <row r="8">
      <c r="A8" s="21" t="s">
        <v>288</v>
      </c>
      <c r="B8" s="22" t="s">
        <v>289</v>
      </c>
      <c r="C8" s="21" t="s">
        <v>274</v>
      </c>
      <c r="D8" s="22" t="s">
        <v>275</v>
      </c>
      <c r="E8" s="22" t="s">
        <v>276</v>
      </c>
      <c r="F8" s="21" t="s">
        <v>290</v>
      </c>
      <c r="G8" s="43">
        <v>60.0</v>
      </c>
      <c r="H8" s="21" t="s">
        <v>287</v>
      </c>
      <c r="I8" s="21">
        <v>5.0</v>
      </c>
      <c r="J8" s="21">
        <v>2.0</v>
      </c>
      <c r="K8" s="21">
        <v>6.0</v>
      </c>
      <c r="L8" s="21">
        <f t="shared" si="1"/>
        <v>0</v>
      </c>
      <c r="M8" s="21">
        <v>7.0</v>
      </c>
      <c r="N8" s="22" t="s">
        <v>291</v>
      </c>
      <c r="O8" s="43">
        <f t="shared" si="2"/>
        <v>300</v>
      </c>
      <c r="P8" s="18" t="str">
        <f t="shared" si="3"/>
        <v>OK</v>
      </c>
    </row>
    <row r="9">
      <c r="A9" s="18" t="s">
        <v>292</v>
      </c>
      <c r="B9" s="19" t="s">
        <v>293</v>
      </c>
      <c r="C9" s="18" t="s">
        <v>282</v>
      </c>
      <c r="D9" s="19" t="s">
        <v>275</v>
      </c>
      <c r="E9" s="19" t="s">
        <v>276</v>
      </c>
      <c r="F9" s="18" t="s">
        <v>294</v>
      </c>
      <c r="G9" s="42">
        <v>220.0</v>
      </c>
      <c r="H9" s="18" t="s">
        <v>295</v>
      </c>
      <c r="I9" s="18">
        <v>18.0</v>
      </c>
      <c r="J9" s="18">
        <v>10.0</v>
      </c>
      <c r="K9" s="18">
        <v>40.0</v>
      </c>
      <c r="L9" s="18">
        <f t="shared" si="1"/>
        <v>0</v>
      </c>
      <c r="M9" s="18">
        <v>5.0</v>
      </c>
      <c r="N9" s="19" t="s">
        <v>296</v>
      </c>
      <c r="O9" s="42">
        <f t="shared" si="2"/>
        <v>3960</v>
      </c>
      <c r="P9" s="18" t="str">
        <f t="shared" si="3"/>
        <v>OK</v>
      </c>
    </row>
    <row r="10">
      <c r="A10" s="21" t="s">
        <v>297</v>
      </c>
      <c r="B10" s="22" t="s">
        <v>298</v>
      </c>
      <c r="C10" s="21" t="s">
        <v>282</v>
      </c>
      <c r="D10" s="22" t="s">
        <v>275</v>
      </c>
      <c r="E10" s="22" t="s">
        <v>276</v>
      </c>
      <c r="F10" s="21" t="s">
        <v>299</v>
      </c>
      <c r="G10" s="43">
        <v>240.0</v>
      </c>
      <c r="H10" s="21" t="s">
        <v>295</v>
      </c>
      <c r="I10" s="21">
        <v>6.0</v>
      </c>
      <c r="J10" s="21">
        <v>6.0</v>
      </c>
      <c r="K10" s="21">
        <v>20.0</v>
      </c>
      <c r="L10" s="21">
        <f t="shared" si="1"/>
        <v>14</v>
      </c>
      <c r="M10" s="21">
        <v>5.0</v>
      </c>
      <c r="N10" s="22" t="s">
        <v>296</v>
      </c>
      <c r="O10" s="43">
        <f t="shared" si="2"/>
        <v>1440</v>
      </c>
      <c r="P10" s="18" t="str">
        <f t="shared" si="3"/>
        <v>À COMMANDER</v>
      </c>
    </row>
    <row r="11">
      <c r="A11" s="18" t="s">
        <v>300</v>
      </c>
      <c r="B11" s="19" t="s">
        <v>301</v>
      </c>
      <c r="C11" s="18" t="s">
        <v>274</v>
      </c>
      <c r="D11" s="19" t="s">
        <v>38</v>
      </c>
      <c r="E11" s="19" t="s">
        <v>302</v>
      </c>
      <c r="F11" s="18" t="s">
        <v>303</v>
      </c>
      <c r="G11" s="42">
        <v>320.0</v>
      </c>
      <c r="H11" s="18" t="s">
        <v>278</v>
      </c>
      <c r="I11" s="18">
        <v>2.0</v>
      </c>
      <c r="J11" s="18">
        <v>2.0</v>
      </c>
      <c r="K11" s="18">
        <v>6.0</v>
      </c>
      <c r="L11" s="18">
        <f t="shared" si="1"/>
        <v>4</v>
      </c>
      <c r="M11" s="18">
        <v>21.0</v>
      </c>
      <c r="N11" s="19" t="s">
        <v>304</v>
      </c>
      <c r="O11" s="42">
        <f t="shared" si="2"/>
        <v>640</v>
      </c>
      <c r="P11" s="18" t="str">
        <f t="shared" si="3"/>
        <v>À COMMANDER</v>
      </c>
    </row>
    <row r="12">
      <c r="A12" s="21" t="s">
        <v>305</v>
      </c>
      <c r="B12" s="22" t="s">
        <v>306</v>
      </c>
      <c r="C12" s="21" t="s">
        <v>282</v>
      </c>
      <c r="D12" s="22" t="s">
        <v>38</v>
      </c>
      <c r="E12" s="22" t="s">
        <v>302</v>
      </c>
      <c r="F12" s="21" t="s">
        <v>307</v>
      </c>
      <c r="G12" s="43">
        <v>850.0</v>
      </c>
      <c r="H12" s="21" t="s">
        <v>308</v>
      </c>
      <c r="I12" s="21">
        <v>3.0</v>
      </c>
      <c r="J12" s="21">
        <v>2.0</v>
      </c>
      <c r="K12" s="21">
        <v>8.0</v>
      </c>
      <c r="L12" s="21">
        <f t="shared" si="1"/>
        <v>0</v>
      </c>
      <c r="M12" s="21">
        <v>21.0</v>
      </c>
      <c r="N12" s="22" t="s">
        <v>296</v>
      </c>
      <c r="O12" s="43">
        <f t="shared" si="2"/>
        <v>2550</v>
      </c>
      <c r="P12" s="18" t="str">
        <f t="shared" si="3"/>
        <v>OK</v>
      </c>
    </row>
    <row r="13">
      <c r="A13" s="18" t="s">
        <v>309</v>
      </c>
      <c r="B13" s="19" t="s">
        <v>310</v>
      </c>
      <c r="C13" s="18" t="s">
        <v>282</v>
      </c>
      <c r="D13" s="19" t="s">
        <v>38</v>
      </c>
      <c r="E13" s="19" t="s">
        <v>311</v>
      </c>
      <c r="F13" s="18" t="s">
        <v>312</v>
      </c>
      <c r="G13" s="42">
        <v>190.0</v>
      </c>
      <c r="H13" s="18" t="s">
        <v>308</v>
      </c>
      <c r="I13" s="18">
        <v>10.0</v>
      </c>
      <c r="J13" s="18">
        <v>5.0</v>
      </c>
      <c r="K13" s="18">
        <v>20.0</v>
      </c>
      <c r="L13" s="18">
        <f t="shared" si="1"/>
        <v>0</v>
      </c>
      <c r="M13" s="18">
        <v>4.0</v>
      </c>
      <c r="N13" s="19" t="s">
        <v>313</v>
      </c>
      <c r="O13" s="42">
        <f t="shared" si="2"/>
        <v>1900</v>
      </c>
      <c r="P13" s="18" t="str">
        <f t="shared" si="3"/>
        <v>OK</v>
      </c>
    </row>
    <row r="14">
      <c r="A14" s="21" t="s">
        <v>314</v>
      </c>
      <c r="B14" s="22" t="s">
        <v>315</v>
      </c>
      <c r="C14" s="21" t="s">
        <v>274</v>
      </c>
      <c r="D14" s="22" t="s">
        <v>41</v>
      </c>
      <c r="E14" s="22" t="s">
        <v>316</v>
      </c>
      <c r="F14" s="21" t="s">
        <v>317</v>
      </c>
      <c r="G14" s="43">
        <v>1400.0</v>
      </c>
      <c r="H14" s="21" t="s">
        <v>278</v>
      </c>
      <c r="I14" s="21">
        <v>1.0</v>
      </c>
      <c r="J14" s="21">
        <v>1.0</v>
      </c>
      <c r="K14" s="21">
        <v>3.0</v>
      </c>
      <c r="L14" s="21">
        <f t="shared" si="1"/>
        <v>2</v>
      </c>
      <c r="M14" s="21">
        <v>30.0</v>
      </c>
      <c r="N14" s="22" t="s">
        <v>318</v>
      </c>
      <c r="O14" s="43">
        <f t="shared" si="2"/>
        <v>1400</v>
      </c>
      <c r="P14" s="18" t="str">
        <f t="shared" si="3"/>
        <v>À COMMANDER</v>
      </c>
    </row>
    <row r="15">
      <c r="A15" s="18" t="s">
        <v>319</v>
      </c>
      <c r="B15" s="19" t="s">
        <v>320</v>
      </c>
      <c r="C15" s="18" t="s">
        <v>274</v>
      </c>
      <c r="D15" s="19" t="s">
        <v>41</v>
      </c>
      <c r="E15" s="19" t="s">
        <v>316</v>
      </c>
      <c r="F15" s="18" t="s">
        <v>321</v>
      </c>
      <c r="G15" s="42">
        <v>900.0</v>
      </c>
      <c r="H15" s="18" t="s">
        <v>278</v>
      </c>
      <c r="I15" s="18">
        <v>2.0</v>
      </c>
      <c r="J15" s="18">
        <v>2.0</v>
      </c>
      <c r="K15" s="18">
        <v>4.0</v>
      </c>
      <c r="L15" s="18">
        <f t="shared" si="1"/>
        <v>2</v>
      </c>
      <c r="M15" s="18">
        <v>30.0</v>
      </c>
      <c r="N15" s="19" t="s">
        <v>318</v>
      </c>
      <c r="O15" s="42">
        <f t="shared" si="2"/>
        <v>1800</v>
      </c>
      <c r="P15" s="18" t="str">
        <f t="shared" si="3"/>
        <v>À COMMANDER</v>
      </c>
    </row>
    <row r="16">
      <c r="A16" s="21" t="s">
        <v>322</v>
      </c>
      <c r="B16" s="22" t="s">
        <v>323</v>
      </c>
      <c r="C16" s="21" t="s">
        <v>282</v>
      </c>
      <c r="D16" s="22" t="s">
        <v>41</v>
      </c>
      <c r="E16" s="22" t="s">
        <v>316</v>
      </c>
      <c r="F16" s="21" t="s">
        <v>324</v>
      </c>
      <c r="G16" s="43">
        <v>260.0</v>
      </c>
      <c r="H16" s="21" t="s">
        <v>308</v>
      </c>
      <c r="I16" s="21">
        <v>4.0</v>
      </c>
      <c r="J16" s="21">
        <v>3.0</v>
      </c>
      <c r="K16" s="21">
        <v>10.0</v>
      </c>
      <c r="L16" s="21">
        <f t="shared" si="1"/>
        <v>0</v>
      </c>
      <c r="M16" s="21">
        <v>15.0</v>
      </c>
      <c r="N16" s="22" t="s">
        <v>313</v>
      </c>
      <c r="O16" s="43">
        <f t="shared" si="2"/>
        <v>1040</v>
      </c>
      <c r="P16" s="18" t="str">
        <f t="shared" si="3"/>
        <v>OK</v>
      </c>
    </row>
    <row r="17">
      <c r="A17" s="18" t="s">
        <v>325</v>
      </c>
      <c r="B17" s="19" t="s">
        <v>326</v>
      </c>
      <c r="C17" s="18" t="s">
        <v>282</v>
      </c>
      <c r="D17" s="19" t="s">
        <v>327</v>
      </c>
      <c r="E17" s="19" t="s">
        <v>328</v>
      </c>
      <c r="F17" s="18" t="s">
        <v>329</v>
      </c>
      <c r="G17" s="42">
        <v>480.0</v>
      </c>
      <c r="H17" s="18" t="s">
        <v>278</v>
      </c>
      <c r="I17" s="18">
        <v>0.0</v>
      </c>
      <c r="J17" s="18">
        <v>2.0</v>
      </c>
      <c r="K17" s="18">
        <v>6.0</v>
      </c>
      <c r="L17" s="18">
        <f t="shared" si="1"/>
        <v>6</v>
      </c>
      <c r="M17" s="18">
        <v>20.0</v>
      </c>
      <c r="N17" s="19" t="s">
        <v>330</v>
      </c>
      <c r="O17" s="42">
        <f t="shared" si="2"/>
        <v>0</v>
      </c>
      <c r="P17" s="18" t="str">
        <f t="shared" si="3"/>
        <v>RUPTURE</v>
      </c>
    </row>
    <row r="18">
      <c r="A18" s="21" t="s">
        <v>331</v>
      </c>
      <c r="B18" s="22" t="s">
        <v>332</v>
      </c>
      <c r="C18" s="21" t="s">
        <v>274</v>
      </c>
      <c r="D18" s="22" t="s">
        <v>46</v>
      </c>
      <c r="E18" s="22" t="s">
        <v>333</v>
      </c>
      <c r="F18" s="21" t="s">
        <v>334</v>
      </c>
      <c r="G18" s="43">
        <v>120.0</v>
      </c>
      <c r="H18" s="21" t="s">
        <v>278</v>
      </c>
      <c r="I18" s="21">
        <v>6.0</v>
      </c>
      <c r="J18" s="21">
        <v>3.0</v>
      </c>
      <c r="K18" s="21">
        <v>10.0</v>
      </c>
      <c r="L18" s="21">
        <f t="shared" si="1"/>
        <v>0</v>
      </c>
      <c r="M18" s="21">
        <v>10.0</v>
      </c>
      <c r="N18" s="22" t="s">
        <v>291</v>
      </c>
      <c r="O18" s="43">
        <f t="shared" si="2"/>
        <v>720</v>
      </c>
      <c r="P18" s="18" t="str">
        <f t="shared" si="3"/>
        <v>OK</v>
      </c>
    </row>
    <row r="19">
      <c r="A19" s="18" t="s">
        <v>335</v>
      </c>
      <c r="B19" s="19" t="s">
        <v>336</v>
      </c>
      <c r="C19" s="18" t="s">
        <v>274</v>
      </c>
      <c r="D19" s="19" t="s">
        <v>337</v>
      </c>
      <c r="E19" s="19" t="s">
        <v>338</v>
      </c>
      <c r="F19" s="18" t="s">
        <v>339</v>
      </c>
      <c r="G19" s="42">
        <v>75.0</v>
      </c>
      <c r="H19" s="18" t="s">
        <v>278</v>
      </c>
      <c r="I19" s="18">
        <v>20.0</v>
      </c>
      <c r="J19" s="18">
        <v>10.0</v>
      </c>
      <c r="K19" s="18">
        <v>40.0</v>
      </c>
      <c r="L19" s="18">
        <f t="shared" si="1"/>
        <v>0</v>
      </c>
      <c r="M19" s="18">
        <v>12.0</v>
      </c>
      <c r="N19" s="19" t="s">
        <v>340</v>
      </c>
      <c r="O19" s="42">
        <f t="shared" si="2"/>
        <v>1500</v>
      </c>
      <c r="P19" s="18" t="str">
        <f t="shared" si="3"/>
        <v>OK</v>
      </c>
    </row>
    <row r="20">
      <c r="A20" s="21" t="s">
        <v>341</v>
      </c>
      <c r="B20" s="22" t="s">
        <v>342</v>
      </c>
      <c r="C20" s="21" t="s">
        <v>343</v>
      </c>
      <c r="D20" s="22" t="s">
        <v>49</v>
      </c>
      <c r="E20" s="22" t="s">
        <v>338</v>
      </c>
      <c r="F20" s="21" t="s">
        <v>344</v>
      </c>
      <c r="G20" s="43">
        <v>140.0</v>
      </c>
      <c r="H20" s="21" t="s">
        <v>278</v>
      </c>
      <c r="I20" s="21">
        <v>2.0</v>
      </c>
      <c r="J20" s="21">
        <v>2.0</v>
      </c>
      <c r="K20" s="21">
        <v>6.0</v>
      </c>
      <c r="L20" s="21">
        <f t="shared" si="1"/>
        <v>4</v>
      </c>
      <c r="M20" s="21">
        <v>21.0</v>
      </c>
      <c r="N20" s="22" t="s">
        <v>340</v>
      </c>
      <c r="O20" s="43">
        <f t="shared" si="2"/>
        <v>280</v>
      </c>
      <c r="P20" s="18" t="str">
        <f t="shared" si="3"/>
        <v>À COMMANDER</v>
      </c>
    </row>
    <row r="21" ht="15.75" customHeight="1">
      <c r="A21" s="18" t="s">
        <v>345</v>
      </c>
      <c r="B21" s="19" t="s">
        <v>346</v>
      </c>
      <c r="C21" s="18" t="s">
        <v>282</v>
      </c>
      <c r="D21" s="19" t="s">
        <v>337</v>
      </c>
      <c r="E21" s="19" t="s">
        <v>338</v>
      </c>
      <c r="F21" s="18" t="s">
        <v>347</v>
      </c>
      <c r="G21" s="42">
        <v>90.0</v>
      </c>
      <c r="H21" s="18" t="s">
        <v>278</v>
      </c>
      <c r="I21" s="18">
        <v>3.0</v>
      </c>
      <c r="J21" s="18">
        <v>2.0</v>
      </c>
      <c r="K21" s="18">
        <v>6.0</v>
      </c>
      <c r="L21" s="18">
        <f t="shared" si="1"/>
        <v>0</v>
      </c>
      <c r="M21" s="18">
        <v>7.0</v>
      </c>
      <c r="N21" s="19" t="s">
        <v>313</v>
      </c>
      <c r="O21" s="42">
        <f t="shared" si="2"/>
        <v>270</v>
      </c>
      <c r="P21" s="18" t="str">
        <f t="shared" si="3"/>
        <v>OK</v>
      </c>
    </row>
    <row r="22" ht="15.75" customHeight="1">
      <c r="A22" s="21" t="s">
        <v>348</v>
      </c>
      <c r="B22" s="22" t="s">
        <v>349</v>
      </c>
      <c r="C22" s="21" t="s">
        <v>274</v>
      </c>
      <c r="D22" s="22" t="s">
        <v>56</v>
      </c>
      <c r="E22" s="22" t="s">
        <v>350</v>
      </c>
      <c r="F22" s="21" t="s">
        <v>351</v>
      </c>
      <c r="G22" s="43">
        <v>55.0</v>
      </c>
      <c r="H22" s="21" t="s">
        <v>278</v>
      </c>
      <c r="I22" s="21">
        <v>8.0</v>
      </c>
      <c r="J22" s="21">
        <v>4.0</v>
      </c>
      <c r="K22" s="21">
        <v>15.0</v>
      </c>
      <c r="L22" s="21">
        <f t="shared" si="1"/>
        <v>0</v>
      </c>
      <c r="M22" s="21">
        <v>5.0</v>
      </c>
      <c r="N22" s="22" t="s">
        <v>352</v>
      </c>
      <c r="O22" s="43">
        <f t="shared" si="2"/>
        <v>440</v>
      </c>
      <c r="P22" s="18" t="str">
        <f t="shared" si="3"/>
        <v>OK</v>
      </c>
    </row>
    <row r="23" ht="15.75" customHeight="1">
      <c r="A23" s="18" t="s">
        <v>353</v>
      </c>
      <c r="B23" s="19" t="s">
        <v>354</v>
      </c>
      <c r="C23" s="18" t="s">
        <v>282</v>
      </c>
      <c r="D23" s="19" t="s">
        <v>56</v>
      </c>
      <c r="E23" s="19" t="s">
        <v>350</v>
      </c>
      <c r="F23" s="18" t="s">
        <v>355</v>
      </c>
      <c r="G23" s="42">
        <v>40.0</v>
      </c>
      <c r="H23" s="18" t="s">
        <v>278</v>
      </c>
      <c r="I23" s="18">
        <v>5.0</v>
      </c>
      <c r="J23" s="18">
        <v>3.0</v>
      </c>
      <c r="K23" s="18">
        <v>12.0</v>
      </c>
      <c r="L23" s="18">
        <f t="shared" si="1"/>
        <v>0</v>
      </c>
      <c r="M23" s="18">
        <v>5.0</v>
      </c>
      <c r="N23" s="19" t="s">
        <v>352</v>
      </c>
      <c r="O23" s="42">
        <f t="shared" si="2"/>
        <v>200</v>
      </c>
      <c r="P23" s="18" t="str">
        <f t="shared" si="3"/>
        <v>OK</v>
      </c>
    </row>
    <row r="24" ht="15.75" customHeight="1">
      <c r="A24" s="21" t="s">
        <v>356</v>
      </c>
      <c r="B24" s="22" t="s">
        <v>357</v>
      </c>
      <c r="C24" s="21" t="s">
        <v>282</v>
      </c>
      <c r="D24" s="22" t="s">
        <v>63</v>
      </c>
      <c r="E24" s="22" t="s">
        <v>338</v>
      </c>
      <c r="F24" s="21" t="s">
        <v>358</v>
      </c>
      <c r="G24" s="43">
        <v>130.0</v>
      </c>
      <c r="H24" s="21" t="s">
        <v>278</v>
      </c>
      <c r="I24" s="21">
        <v>4.0</v>
      </c>
      <c r="J24" s="21">
        <v>2.0</v>
      </c>
      <c r="K24" s="21">
        <v>8.0</v>
      </c>
      <c r="L24" s="21">
        <f t="shared" si="1"/>
        <v>0</v>
      </c>
      <c r="M24" s="21">
        <v>10.0</v>
      </c>
      <c r="N24" s="22" t="s">
        <v>359</v>
      </c>
      <c r="O24" s="43">
        <f t="shared" si="2"/>
        <v>520</v>
      </c>
      <c r="P24" s="18" t="str">
        <f t="shared" si="3"/>
        <v>OK</v>
      </c>
    </row>
    <row r="25" ht="15.75" customHeight="1">
      <c r="A25" s="18" t="s">
        <v>360</v>
      </c>
      <c r="B25" s="19" t="s">
        <v>361</v>
      </c>
      <c r="C25" s="18" t="s">
        <v>274</v>
      </c>
      <c r="D25" s="19" t="s">
        <v>67</v>
      </c>
      <c r="E25" s="19" t="s">
        <v>338</v>
      </c>
      <c r="F25" s="18" t="s">
        <v>362</v>
      </c>
      <c r="G25" s="42">
        <v>160.0</v>
      </c>
      <c r="H25" s="18" t="s">
        <v>278</v>
      </c>
      <c r="I25" s="18">
        <v>2.0</v>
      </c>
      <c r="J25" s="18">
        <v>2.0</v>
      </c>
      <c r="K25" s="18">
        <v>5.0</v>
      </c>
      <c r="L25" s="18">
        <f t="shared" si="1"/>
        <v>3</v>
      </c>
      <c r="M25" s="18">
        <v>14.0</v>
      </c>
      <c r="N25" s="19" t="s">
        <v>359</v>
      </c>
      <c r="O25" s="42">
        <f t="shared" si="2"/>
        <v>320</v>
      </c>
      <c r="P25" s="18" t="str">
        <f t="shared" si="3"/>
        <v>À COMMANDER</v>
      </c>
    </row>
    <row r="26" ht="15.75" customHeight="1">
      <c r="A26" s="21" t="s">
        <v>363</v>
      </c>
      <c r="B26" s="22" t="s">
        <v>364</v>
      </c>
      <c r="C26" s="21" t="s">
        <v>282</v>
      </c>
      <c r="D26" s="22" t="s">
        <v>67</v>
      </c>
      <c r="E26" s="22" t="s">
        <v>338</v>
      </c>
      <c r="F26" s="21" t="s">
        <v>365</v>
      </c>
      <c r="G26" s="43">
        <v>35.0</v>
      </c>
      <c r="H26" s="21" t="s">
        <v>278</v>
      </c>
      <c r="I26" s="21">
        <v>15.0</v>
      </c>
      <c r="J26" s="21">
        <v>8.0</v>
      </c>
      <c r="K26" s="21">
        <v>30.0</v>
      </c>
      <c r="L26" s="21">
        <f t="shared" si="1"/>
        <v>0</v>
      </c>
      <c r="M26" s="21">
        <v>7.0</v>
      </c>
      <c r="N26" s="22" t="s">
        <v>359</v>
      </c>
      <c r="O26" s="43">
        <f t="shared" si="2"/>
        <v>525</v>
      </c>
      <c r="P26" s="18" t="str">
        <f t="shared" si="3"/>
        <v>OK</v>
      </c>
    </row>
    <row r="27" ht="15.75" customHeight="1">
      <c r="A27" s="18" t="s">
        <v>366</v>
      </c>
      <c r="B27" s="19" t="s">
        <v>367</v>
      </c>
      <c r="C27" s="18" t="s">
        <v>282</v>
      </c>
      <c r="D27" s="19" t="s">
        <v>69</v>
      </c>
      <c r="E27" s="19" t="s">
        <v>368</v>
      </c>
      <c r="F27" s="18" t="s">
        <v>369</v>
      </c>
      <c r="G27" s="42">
        <v>70.0</v>
      </c>
      <c r="H27" s="18" t="s">
        <v>278</v>
      </c>
      <c r="I27" s="18">
        <v>6.0</v>
      </c>
      <c r="J27" s="18">
        <v>3.0</v>
      </c>
      <c r="K27" s="18">
        <v>12.0</v>
      </c>
      <c r="L27" s="18">
        <f t="shared" si="1"/>
        <v>0</v>
      </c>
      <c r="M27" s="18">
        <v>10.0</v>
      </c>
      <c r="N27" s="19" t="s">
        <v>370</v>
      </c>
      <c r="O27" s="42">
        <f t="shared" si="2"/>
        <v>420</v>
      </c>
      <c r="P27" s="18" t="str">
        <f t="shared" si="3"/>
        <v>OK</v>
      </c>
    </row>
    <row r="28" ht="15.75" customHeight="1">
      <c r="A28" s="21" t="s">
        <v>371</v>
      </c>
      <c r="B28" s="22" t="s">
        <v>372</v>
      </c>
      <c r="C28" s="21" t="s">
        <v>282</v>
      </c>
      <c r="D28" s="22" t="s">
        <v>69</v>
      </c>
      <c r="E28" s="22" t="s">
        <v>368</v>
      </c>
      <c r="F28" s="21" t="s">
        <v>373</v>
      </c>
      <c r="G28" s="43">
        <v>210.0</v>
      </c>
      <c r="H28" s="21" t="s">
        <v>278</v>
      </c>
      <c r="I28" s="21">
        <v>8.0</v>
      </c>
      <c r="J28" s="21">
        <v>5.0</v>
      </c>
      <c r="K28" s="21">
        <v>20.0</v>
      </c>
      <c r="L28" s="21">
        <f t="shared" si="1"/>
        <v>0</v>
      </c>
      <c r="M28" s="21">
        <v>10.0</v>
      </c>
      <c r="N28" s="22" t="s">
        <v>296</v>
      </c>
      <c r="O28" s="43">
        <f t="shared" si="2"/>
        <v>1680</v>
      </c>
      <c r="P28" s="18" t="str">
        <f t="shared" si="3"/>
        <v>OK</v>
      </c>
    </row>
    <row r="29" ht="15.75" customHeight="1">
      <c r="A29" s="18" t="s">
        <v>374</v>
      </c>
      <c r="B29" s="19" t="s">
        <v>375</v>
      </c>
      <c r="C29" s="18" t="s">
        <v>274</v>
      </c>
      <c r="D29" s="19" t="s">
        <v>73</v>
      </c>
      <c r="E29" s="19" t="s">
        <v>376</v>
      </c>
      <c r="F29" s="18" t="s">
        <v>377</v>
      </c>
      <c r="G29" s="42">
        <v>110.0</v>
      </c>
      <c r="H29" s="18" t="s">
        <v>278</v>
      </c>
      <c r="I29" s="18">
        <v>2.0</v>
      </c>
      <c r="J29" s="18">
        <v>2.0</v>
      </c>
      <c r="K29" s="18">
        <v>5.0</v>
      </c>
      <c r="L29" s="18">
        <f t="shared" si="1"/>
        <v>3</v>
      </c>
      <c r="M29" s="18">
        <v>12.0</v>
      </c>
      <c r="N29" s="19" t="s">
        <v>330</v>
      </c>
      <c r="O29" s="42">
        <f t="shared" si="2"/>
        <v>220</v>
      </c>
      <c r="P29" s="18" t="str">
        <f t="shared" si="3"/>
        <v>À COMMANDER</v>
      </c>
    </row>
    <row r="30" ht="15.75" customHeight="1">
      <c r="A30" s="21" t="s">
        <v>378</v>
      </c>
      <c r="B30" s="22" t="s">
        <v>379</v>
      </c>
      <c r="C30" s="21" t="s">
        <v>282</v>
      </c>
      <c r="D30" s="22" t="s">
        <v>73</v>
      </c>
      <c r="E30" s="22" t="s">
        <v>376</v>
      </c>
      <c r="F30" s="21" t="s">
        <v>380</v>
      </c>
      <c r="G30" s="43">
        <v>95.0</v>
      </c>
      <c r="H30" s="21" t="s">
        <v>308</v>
      </c>
      <c r="I30" s="21">
        <v>3.0</v>
      </c>
      <c r="J30" s="21">
        <v>2.0</v>
      </c>
      <c r="K30" s="21">
        <v>6.0</v>
      </c>
      <c r="L30" s="21">
        <f t="shared" si="1"/>
        <v>0</v>
      </c>
      <c r="M30" s="21">
        <v>12.0</v>
      </c>
      <c r="N30" s="22" t="s">
        <v>313</v>
      </c>
      <c r="O30" s="43">
        <f t="shared" si="2"/>
        <v>285</v>
      </c>
      <c r="P30" s="18" t="str">
        <f t="shared" si="3"/>
        <v>OK</v>
      </c>
    </row>
    <row r="31" ht="15.75" customHeight="1">
      <c r="A31" s="18" t="s">
        <v>381</v>
      </c>
      <c r="B31" s="19" t="s">
        <v>382</v>
      </c>
      <c r="C31" s="18" t="s">
        <v>274</v>
      </c>
      <c r="D31" s="19" t="s">
        <v>76</v>
      </c>
      <c r="E31" s="19" t="s">
        <v>328</v>
      </c>
      <c r="F31" s="18" t="s">
        <v>383</v>
      </c>
      <c r="G31" s="42">
        <v>260.0</v>
      </c>
      <c r="H31" s="18" t="s">
        <v>278</v>
      </c>
      <c r="I31" s="18">
        <v>1.0</v>
      </c>
      <c r="J31" s="18">
        <v>2.0</v>
      </c>
      <c r="K31" s="18">
        <v>6.0</v>
      </c>
      <c r="L31" s="18">
        <f t="shared" si="1"/>
        <v>5</v>
      </c>
      <c r="M31" s="18">
        <v>20.0</v>
      </c>
      <c r="N31" s="19" t="s">
        <v>330</v>
      </c>
      <c r="O31" s="42">
        <f t="shared" si="2"/>
        <v>260</v>
      </c>
      <c r="P31" s="18" t="str">
        <f t="shared" si="3"/>
        <v>À COMMANDER</v>
      </c>
    </row>
    <row r="32" ht="15.75" customHeight="1">
      <c r="A32" s="21" t="s">
        <v>384</v>
      </c>
      <c r="B32" s="22" t="s">
        <v>385</v>
      </c>
      <c r="C32" s="21" t="s">
        <v>386</v>
      </c>
      <c r="D32" s="22" t="s">
        <v>387</v>
      </c>
      <c r="E32" s="22" t="s">
        <v>350</v>
      </c>
      <c r="F32" s="21" t="s">
        <v>388</v>
      </c>
      <c r="G32" s="43">
        <v>60.0</v>
      </c>
      <c r="H32" s="21" t="s">
        <v>278</v>
      </c>
      <c r="I32" s="21">
        <v>10.0</v>
      </c>
      <c r="J32" s="21">
        <v>5.0</v>
      </c>
      <c r="K32" s="21">
        <v>20.0</v>
      </c>
      <c r="L32" s="21">
        <f t="shared" si="1"/>
        <v>0</v>
      </c>
      <c r="M32" s="21">
        <v>5.0</v>
      </c>
      <c r="N32" s="22" t="s">
        <v>352</v>
      </c>
      <c r="O32" s="43">
        <f t="shared" si="2"/>
        <v>600</v>
      </c>
      <c r="P32" s="18" t="str">
        <f t="shared" si="3"/>
        <v>OK</v>
      </c>
    </row>
    <row r="33" ht="15.75" customHeight="1">
      <c r="A33" s="18" t="s">
        <v>389</v>
      </c>
      <c r="B33" s="19" t="s">
        <v>390</v>
      </c>
      <c r="C33" s="18" t="s">
        <v>386</v>
      </c>
      <c r="D33" s="19" t="s">
        <v>387</v>
      </c>
      <c r="E33" s="19" t="s">
        <v>391</v>
      </c>
      <c r="F33" s="18" t="s">
        <v>392</v>
      </c>
      <c r="G33" s="42">
        <v>150.0</v>
      </c>
      <c r="H33" s="18" t="s">
        <v>278</v>
      </c>
      <c r="I33" s="18">
        <v>12.0</v>
      </c>
      <c r="J33" s="18">
        <v>6.0</v>
      </c>
      <c r="K33" s="18">
        <v>24.0</v>
      </c>
      <c r="L33" s="18">
        <f t="shared" si="1"/>
        <v>0</v>
      </c>
      <c r="M33" s="18">
        <v>5.0</v>
      </c>
      <c r="N33" s="19" t="s">
        <v>393</v>
      </c>
      <c r="O33" s="42">
        <f t="shared" si="2"/>
        <v>1800</v>
      </c>
      <c r="P33" s="18" t="str">
        <f t="shared" si="3"/>
        <v>OK</v>
      </c>
    </row>
    <row r="34" ht="15.75" customHeight="1">
      <c r="A34" s="21" t="s">
        <v>394</v>
      </c>
      <c r="B34" s="22" t="s">
        <v>395</v>
      </c>
      <c r="C34" s="21" t="s">
        <v>282</v>
      </c>
      <c r="D34" s="22" t="s">
        <v>41</v>
      </c>
      <c r="E34" s="22" t="s">
        <v>316</v>
      </c>
      <c r="F34" s="21" t="s">
        <v>396</v>
      </c>
      <c r="G34" s="43">
        <v>130.0</v>
      </c>
      <c r="H34" s="21" t="s">
        <v>278</v>
      </c>
      <c r="I34" s="21">
        <v>3.0</v>
      </c>
      <c r="J34" s="21">
        <v>2.0</v>
      </c>
      <c r="K34" s="21">
        <v>6.0</v>
      </c>
      <c r="L34" s="21">
        <f t="shared" si="1"/>
        <v>0</v>
      </c>
      <c r="M34" s="21">
        <v>15.0</v>
      </c>
      <c r="N34" s="22" t="s">
        <v>330</v>
      </c>
      <c r="O34" s="43">
        <f t="shared" si="2"/>
        <v>390</v>
      </c>
      <c r="P34" s="18" t="str">
        <f t="shared" si="3"/>
        <v>OK</v>
      </c>
    </row>
    <row r="35" ht="19.5" customHeight="1">
      <c r="A35" s="44" t="s">
        <v>397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30"/>
      <c r="O35" s="45">
        <f>SUM(O5:O34)</f>
        <v>26615</v>
      </c>
      <c r="P35" s="4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A2:P2"/>
    <mergeCell ref="A35:N35"/>
  </mergeCells>
  <conditionalFormatting sqref="P5:P34">
    <cfRule type="cellIs" dxfId="0" priority="1" operator="equal">
      <formula>"OK"</formula>
    </cfRule>
  </conditionalFormatting>
  <conditionalFormatting sqref="P5:P34">
    <cfRule type="cellIs" dxfId="1" priority="2" operator="equal">
      <formula>"À COMMANDER"</formula>
    </cfRule>
  </conditionalFormatting>
  <conditionalFormatting sqref="P5:P34">
    <cfRule type="cellIs" dxfId="2" priority="3" operator="equal">
      <formula>"RUPTURE"</formula>
    </cfRule>
  </conditionalFormatting>
  <conditionalFormatting sqref="L5:L34">
    <cfRule type="cellIs" dxfId="3" priority="4" operator="greaterThan">
      <formula>0</formula>
    </cfRule>
  </conditionalFormatting>
  <dataValidations>
    <dataValidation type="list" allowBlank="1" sqref="C5:C34">
      <formula1>"Consommable,Usure,Rechange,Sécurité"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3.0"/>
    <col customWidth="1" min="3" max="3" width="32.0"/>
    <col customWidth="1" min="4" max="4" width="18.0"/>
    <col customWidth="1" min="5" max="5" width="10.0"/>
    <col customWidth="1" min="6" max="6" width="18.0"/>
    <col customWidth="1" min="7" max="8" width="14.0"/>
    <col customWidth="1" min="9" max="9" width="30.0"/>
    <col customWidth="1" min="10" max="26" width="8.71"/>
  </cols>
  <sheetData>
    <row r="1" ht="33.75" customHeight="1">
      <c r="A1" s="15" t="s">
        <v>398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16" t="s">
        <v>399</v>
      </c>
      <c r="B2" s="2"/>
      <c r="C2" s="2"/>
      <c r="D2" s="2"/>
      <c r="E2" s="2"/>
      <c r="F2" s="2"/>
      <c r="G2" s="2"/>
      <c r="H2" s="2"/>
      <c r="I2" s="3"/>
    </row>
    <row r="4" ht="21.75" customHeight="1">
      <c r="A4" s="47" t="s">
        <v>400</v>
      </c>
      <c r="B4" s="2"/>
      <c r="C4" s="2"/>
      <c r="D4" s="2"/>
      <c r="E4" s="2"/>
      <c r="F4" s="2"/>
      <c r="G4" s="2"/>
      <c r="H4" s="2"/>
      <c r="I4" s="3"/>
    </row>
    <row r="5" ht="30.0" customHeight="1">
      <c r="A5" s="17" t="s">
        <v>401</v>
      </c>
      <c r="B5" s="17" t="s">
        <v>260</v>
      </c>
      <c r="C5" s="17" t="s">
        <v>402</v>
      </c>
      <c r="D5" s="17" t="s">
        <v>403</v>
      </c>
      <c r="E5" s="17" t="s">
        <v>404</v>
      </c>
      <c r="F5" s="17" t="s">
        <v>405</v>
      </c>
      <c r="G5" s="17" t="s">
        <v>406</v>
      </c>
      <c r="H5" s="17" t="s">
        <v>407</v>
      </c>
      <c r="I5" s="17" t="s">
        <v>408</v>
      </c>
    </row>
    <row r="6">
      <c r="A6" s="18" t="s">
        <v>409</v>
      </c>
      <c r="B6" s="19" t="s">
        <v>276</v>
      </c>
      <c r="C6" s="19" t="s">
        <v>410</v>
      </c>
      <c r="D6" s="19" t="s">
        <v>411</v>
      </c>
      <c r="E6" s="19" t="s">
        <v>412</v>
      </c>
      <c r="F6" s="18">
        <v>5.0</v>
      </c>
      <c r="G6" s="19" t="s">
        <v>413</v>
      </c>
      <c r="H6" s="18" t="s">
        <v>414</v>
      </c>
      <c r="I6" s="18" t="s">
        <v>415</v>
      </c>
    </row>
    <row r="7">
      <c r="A7" s="21" t="s">
        <v>416</v>
      </c>
      <c r="B7" s="22" t="s">
        <v>302</v>
      </c>
      <c r="C7" s="22" t="s">
        <v>417</v>
      </c>
      <c r="D7" s="22" t="s">
        <v>418</v>
      </c>
      <c r="E7" s="22" t="s">
        <v>419</v>
      </c>
      <c r="F7" s="21">
        <v>21.0</v>
      </c>
      <c r="G7" s="22" t="s">
        <v>420</v>
      </c>
      <c r="H7" s="21" t="s">
        <v>421</v>
      </c>
      <c r="I7" s="21" t="s">
        <v>422</v>
      </c>
    </row>
    <row r="8">
      <c r="A8" s="18" t="s">
        <v>423</v>
      </c>
      <c r="B8" s="19" t="s">
        <v>424</v>
      </c>
      <c r="C8" s="19" t="s">
        <v>425</v>
      </c>
      <c r="D8" s="19" t="s">
        <v>426</v>
      </c>
      <c r="E8" s="19" t="s">
        <v>427</v>
      </c>
      <c r="F8" s="18">
        <v>30.0</v>
      </c>
      <c r="G8" s="19" t="s">
        <v>428</v>
      </c>
      <c r="H8" s="18" t="s">
        <v>421</v>
      </c>
      <c r="I8" s="18" t="s">
        <v>415</v>
      </c>
    </row>
    <row r="9">
      <c r="A9" s="21" t="s">
        <v>429</v>
      </c>
      <c r="B9" s="22" t="s">
        <v>430</v>
      </c>
      <c r="C9" s="22" t="s">
        <v>431</v>
      </c>
      <c r="D9" s="22" t="s">
        <v>432</v>
      </c>
      <c r="E9" s="22" t="s">
        <v>433</v>
      </c>
      <c r="F9" s="21">
        <v>15.0</v>
      </c>
      <c r="G9" s="22" t="s">
        <v>434</v>
      </c>
      <c r="H9" s="21" t="s">
        <v>435</v>
      </c>
      <c r="I9" s="21" t="s">
        <v>415</v>
      </c>
    </row>
    <row r="10">
      <c r="A10" s="18" t="s">
        <v>436</v>
      </c>
      <c r="B10" s="19" t="s">
        <v>338</v>
      </c>
      <c r="C10" s="19" t="s">
        <v>437</v>
      </c>
      <c r="D10" s="19" t="s">
        <v>438</v>
      </c>
      <c r="E10" s="19" t="s">
        <v>439</v>
      </c>
      <c r="F10" s="18">
        <v>10.0</v>
      </c>
      <c r="G10" s="19" t="s">
        <v>440</v>
      </c>
      <c r="H10" s="18" t="s">
        <v>441</v>
      </c>
      <c r="I10" s="18" t="s">
        <v>442</v>
      </c>
    </row>
    <row r="11">
      <c r="A11" s="21" t="s">
        <v>443</v>
      </c>
      <c r="B11" s="22" t="s">
        <v>350</v>
      </c>
      <c r="C11" s="22" t="s">
        <v>444</v>
      </c>
      <c r="D11" s="22" t="s">
        <v>438</v>
      </c>
      <c r="E11" s="22" t="s">
        <v>439</v>
      </c>
      <c r="F11" s="21">
        <v>5.0</v>
      </c>
      <c r="G11" s="22" t="s">
        <v>440</v>
      </c>
      <c r="H11" s="21" t="s">
        <v>445</v>
      </c>
      <c r="I11" s="21" t="s">
        <v>442</v>
      </c>
    </row>
    <row r="12">
      <c r="A12" s="18" t="s">
        <v>446</v>
      </c>
      <c r="B12" s="19" t="s">
        <v>328</v>
      </c>
      <c r="C12" s="19" t="s">
        <v>447</v>
      </c>
      <c r="D12" s="19" t="s">
        <v>411</v>
      </c>
      <c r="E12" s="19" t="s">
        <v>448</v>
      </c>
      <c r="F12" s="18">
        <v>20.0</v>
      </c>
      <c r="G12" s="19" t="s">
        <v>434</v>
      </c>
      <c r="H12" s="18" t="s">
        <v>421</v>
      </c>
      <c r="I12" s="18" t="s">
        <v>449</v>
      </c>
    </row>
    <row r="13">
      <c r="A13" s="21" t="s">
        <v>450</v>
      </c>
      <c r="B13" s="22" t="s">
        <v>376</v>
      </c>
      <c r="C13" s="22" t="s">
        <v>451</v>
      </c>
      <c r="D13" s="22" t="s">
        <v>452</v>
      </c>
      <c r="E13" s="22" t="s">
        <v>433</v>
      </c>
      <c r="F13" s="21">
        <v>12.0</v>
      </c>
      <c r="G13" s="22" t="s">
        <v>434</v>
      </c>
      <c r="H13" s="21" t="s">
        <v>421</v>
      </c>
      <c r="I13" s="21" t="s">
        <v>415</v>
      </c>
    </row>
    <row r="14">
      <c r="A14" s="18" t="s">
        <v>453</v>
      </c>
      <c r="B14" s="19" t="s">
        <v>368</v>
      </c>
      <c r="C14" s="19" t="s">
        <v>454</v>
      </c>
      <c r="D14" s="19" t="s">
        <v>411</v>
      </c>
      <c r="E14" s="19" t="s">
        <v>455</v>
      </c>
      <c r="F14" s="18">
        <v>10.0</v>
      </c>
      <c r="G14" s="19" t="s">
        <v>434</v>
      </c>
      <c r="H14" s="18" t="s">
        <v>456</v>
      </c>
      <c r="I14" s="18" t="s">
        <v>415</v>
      </c>
    </row>
    <row r="15">
      <c r="A15" s="21" t="s">
        <v>457</v>
      </c>
      <c r="B15" s="22" t="s">
        <v>391</v>
      </c>
      <c r="C15" s="22" t="s">
        <v>458</v>
      </c>
      <c r="D15" s="22" t="s">
        <v>411</v>
      </c>
      <c r="E15" s="22" t="s">
        <v>439</v>
      </c>
      <c r="F15" s="21">
        <v>5.0</v>
      </c>
      <c r="G15" s="22" t="s">
        <v>434</v>
      </c>
      <c r="H15" s="21" t="s">
        <v>459</v>
      </c>
      <c r="I15" s="21" t="s">
        <v>442</v>
      </c>
    </row>
    <row r="16">
      <c r="A16" s="18" t="s">
        <v>460</v>
      </c>
      <c r="B16" s="19" t="s">
        <v>311</v>
      </c>
      <c r="C16" s="19" t="s">
        <v>461</v>
      </c>
      <c r="D16" s="19" t="s">
        <v>411</v>
      </c>
      <c r="E16" s="19" t="s">
        <v>439</v>
      </c>
      <c r="F16" s="18">
        <v>4.0</v>
      </c>
      <c r="G16" s="19" t="s">
        <v>440</v>
      </c>
      <c r="H16" s="18" t="s">
        <v>421</v>
      </c>
      <c r="I16" s="18" t="s">
        <v>415</v>
      </c>
    </row>
    <row r="18" ht="21.75" customHeight="1">
      <c r="A18" s="47" t="s">
        <v>462</v>
      </c>
      <c r="B18" s="2"/>
      <c r="C18" s="2"/>
      <c r="D18" s="2"/>
      <c r="E18" s="2"/>
      <c r="F18" s="2"/>
      <c r="G18" s="2"/>
      <c r="H18" s="2"/>
      <c r="I18" s="3"/>
    </row>
    <row r="19" ht="25.5" customHeight="1">
      <c r="A19" s="17" t="s">
        <v>463</v>
      </c>
      <c r="B19" s="17" t="s">
        <v>256</v>
      </c>
      <c r="C19" s="17" t="s">
        <v>257</v>
      </c>
      <c r="D19" s="17" t="s">
        <v>464</v>
      </c>
      <c r="E19" s="17" t="s">
        <v>465</v>
      </c>
      <c r="F19" s="17" t="s">
        <v>466</v>
      </c>
      <c r="G19" s="17" t="s">
        <v>260</v>
      </c>
      <c r="H19" s="17" t="s">
        <v>467</v>
      </c>
      <c r="I19" s="17" t="s">
        <v>468</v>
      </c>
    </row>
    <row r="20">
      <c r="A20" s="18" t="s">
        <v>469</v>
      </c>
      <c r="B20" s="18" t="s">
        <v>272</v>
      </c>
      <c r="C20" s="19" t="s">
        <v>273</v>
      </c>
      <c r="D20" s="48" t="s">
        <v>470</v>
      </c>
      <c r="E20" s="18">
        <v>2.0</v>
      </c>
      <c r="F20" s="18" t="s">
        <v>471</v>
      </c>
      <c r="G20" s="18"/>
      <c r="H20" s="19" t="s">
        <v>106</v>
      </c>
      <c r="I20" s="19" t="s">
        <v>472</v>
      </c>
    </row>
    <row r="21" ht="15.75" customHeight="1">
      <c r="A21" s="18" t="s">
        <v>473</v>
      </c>
      <c r="B21" s="18" t="s">
        <v>325</v>
      </c>
      <c r="C21" s="19" t="s">
        <v>326</v>
      </c>
      <c r="D21" s="48" t="s">
        <v>470</v>
      </c>
      <c r="E21" s="18">
        <v>1.0</v>
      </c>
      <c r="F21" s="18" t="s">
        <v>474</v>
      </c>
      <c r="G21" s="18"/>
      <c r="H21" s="19" t="s">
        <v>106</v>
      </c>
      <c r="I21" s="19" t="s">
        <v>475</v>
      </c>
    </row>
    <row r="22" ht="15.75" customHeight="1">
      <c r="A22" s="18" t="s">
        <v>476</v>
      </c>
      <c r="B22" s="18" t="s">
        <v>325</v>
      </c>
      <c r="C22" s="19" t="s">
        <v>326</v>
      </c>
      <c r="D22" s="49" t="s">
        <v>477</v>
      </c>
      <c r="E22" s="18">
        <v>4.0</v>
      </c>
      <c r="F22" s="18" t="s">
        <v>478</v>
      </c>
      <c r="G22" s="18" t="s">
        <v>446</v>
      </c>
      <c r="H22" s="19" t="s">
        <v>479</v>
      </c>
      <c r="I22" s="19" t="s">
        <v>480</v>
      </c>
    </row>
    <row r="23" ht="15.75" customHeight="1">
      <c r="A23" s="18" t="s">
        <v>481</v>
      </c>
      <c r="B23" s="18" t="s">
        <v>325</v>
      </c>
      <c r="C23" s="19" t="s">
        <v>326</v>
      </c>
      <c r="D23" s="50" t="s">
        <v>482</v>
      </c>
      <c r="E23" s="18">
        <v>4.0</v>
      </c>
      <c r="F23" s="18" t="s">
        <v>478</v>
      </c>
      <c r="G23" s="18" t="s">
        <v>446</v>
      </c>
      <c r="H23" s="19" t="s">
        <v>479</v>
      </c>
      <c r="I23" s="19" t="s">
        <v>483</v>
      </c>
    </row>
    <row r="24" ht="15.75" customHeight="1">
      <c r="A24" s="18" t="s">
        <v>481</v>
      </c>
      <c r="B24" s="18" t="s">
        <v>292</v>
      </c>
      <c r="C24" s="19" t="s">
        <v>293</v>
      </c>
      <c r="D24" s="50" t="s">
        <v>482</v>
      </c>
      <c r="E24" s="18">
        <v>10.0</v>
      </c>
      <c r="F24" s="18" t="s">
        <v>484</v>
      </c>
      <c r="G24" s="18" t="s">
        <v>409</v>
      </c>
      <c r="H24" s="19" t="s">
        <v>479</v>
      </c>
      <c r="I24" s="19" t="s">
        <v>485</v>
      </c>
    </row>
    <row r="25" ht="15.75" customHeight="1">
      <c r="A25" s="18" t="s">
        <v>486</v>
      </c>
      <c r="B25" s="18" t="s">
        <v>314</v>
      </c>
      <c r="C25" s="19" t="s">
        <v>315</v>
      </c>
      <c r="D25" s="48" t="s">
        <v>470</v>
      </c>
      <c r="E25" s="18">
        <v>1.0</v>
      </c>
      <c r="F25" s="18" t="s">
        <v>487</v>
      </c>
      <c r="G25" s="18"/>
      <c r="H25" s="19" t="s">
        <v>140</v>
      </c>
      <c r="I25" s="19" t="s">
        <v>488</v>
      </c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</row>
    <row r="27" ht="15.75" customHeight="1">
      <c r="A27" s="51"/>
      <c r="B27" s="51"/>
      <c r="C27" s="51"/>
      <c r="D27" s="51"/>
      <c r="E27" s="51"/>
      <c r="F27" s="51"/>
      <c r="G27" s="51"/>
      <c r="H27" s="51"/>
      <c r="I27" s="51"/>
    </row>
    <row r="28" ht="15.75" customHeight="1">
      <c r="A28" s="51"/>
      <c r="B28" s="51"/>
      <c r="C28" s="51"/>
      <c r="D28" s="51"/>
      <c r="E28" s="51"/>
      <c r="F28" s="51"/>
      <c r="G28" s="51"/>
      <c r="H28" s="51"/>
      <c r="I28" s="51"/>
    </row>
    <row r="29" ht="15.75" customHeight="1">
      <c r="A29" s="51"/>
      <c r="B29" s="51"/>
      <c r="C29" s="51"/>
      <c r="D29" s="51"/>
      <c r="E29" s="51"/>
      <c r="F29" s="51"/>
      <c r="G29" s="51"/>
      <c r="H29" s="51"/>
      <c r="I29" s="51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</row>
    <row r="31" ht="15.75" customHeight="1">
      <c r="A31" s="51"/>
      <c r="B31" s="51"/>
      <c r="C31" s="51"/>
      <c r="D31" s="51"/>
      <c r="E31" s="51"/>
      <c r="F31" s="51"/>
      <c r="G31" s="51"/>
      <c r="H31" s="51"/>
      <c r="I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</row>
    <row r="36" ht="15.75" customHeight="1"/>
    <row r="37" ht="30.0" customHeight="1">
      <c r="A37" s="52" t="s">
        <v>489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4:I4"/>
    <mergeCell ref="A18:I18"/>
    <mergeCell ref="A37:I37"/>
  </mergeCells>
  <dataValidations>
    <dataValidation type="list" allowBlank="1" sqref="D20:D35">
      <formula1>"Entrée,Sortie,Commande,Retour,Inventaire"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2" width="9.0"/>
    <col customWidth="1" min="23" max="26" width="8.71"/>
  </cols>
  <sheetData>
    <row r="1" ht="33.75" customHeight="1">
      <c r="A1" s="15" t="s">
        <v>490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9.5" customHeight="1">
      <c r="A2" s="16" t="s">
        <v>491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4" ht="21.75" customHeight="1">
      <c r="B4" s="53" t="s">
        <v>492</v>
      </c>
      <c r="C4" s="2"/>
      <c r="D4" s="2"/>
      <c r="E4" s="2"/>
      <c r="F4" s="2"/>
      <c r="G4" s="2"/>
      <c r="H4" s="2"/>
      <c r="I4" s="3"/>
      <c r="K4" s="53" t="s">
        <v>493</v>
      </c>
      <c r="L4" s="2"/>
      <c r="M4" s="2"/>
      <c r="N4" s="2"/>
      <c r="O4" s="2"/>
      <c r="P4" s="2"/>
      <c r="Q4" s="2"/>
      <c r="R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21.75" customHeight="1">
      <c r="B58" s="53" t="s">
        <v>494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33.75" customHeight="1">
      <c r="B78" s="52" t="s">
        <v>495</v>
      </c>
    </row>
    <row r="79" ht="15.75" customHeight="1"/>
    <row r="80" ht="15.75" customHeight="1"/>
    <row r="81" ht="15.75" customHeight="1"/>
    <row r="82" ht="21.75" customHeight="1">
      <c r="B82" s="53" t="s">
        <v>496</v>
      </c>
      <c r="C82" s="2"/>
      <c r="D82" s="2"/>
      <c r="E82" s="2"/>
      <c r="F82" s="2"/>
      <c r="G82" s="2"/>
      <c r="H82" s="2"/>
      <c r="I82" s="3"/>
      <c r="K82" s="53" t="s">
        <v>497</v>
      </c>
      <c r="L82" s="2"/>
      <c r="M82" s="2"/>
      <c r="N82" s="2"/>
      <c r="O82" s="2"/>
      <c r="P82" s="2"/>
      <c r="Q82" s="2"/>
      <c r="R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V1"/>
    <mergeCell ref="A2:V2"/>
    <mergeCell ref="B4:I4"/>
    <mergeCell ref="K4:R4"/>
    <mergeCell ref="B58:R58"/>
    <mergeCell ref="B78:S78"/>
    <mergeCell ref="B82:I82"/>
    <mergeCell ref="K82:R8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8.0"/>
    <col customWidth="1" min="3" max="3" width="22.0"/>
    <col customWidth="1" min="4" max="4" width="40.0"/>
    <col customWidth="1" min="5" max="6" width="24.0"/>
    <col customWidth="1" min="7" max="7" width="18.0"/>
    <col customWidth="1" min="8" max="26" width="8.71"/>
  </cols>
  <sheetData>
    <row r="1" ht="33.75" customHeight="1">
      <c r="A1" s="15" t="s">
        <v>498</v>
      </c>
      <c r="B1" s="2"/>
      <c r="C1" s="2"/>
      <c r="D1" s="2"/>
      <c r="E1" s="2"/>
      <c r="F1" s="2"/>
      <c r="G1" s="3"/>
    </row>
    <row r="2" ht="19.5" customHeight="1">
      <c r="A2" s="16" t="s">
        <v>499</v>
      </c>
      <c r="B2" s="2"/>
      <c r="C2" s="2"/>
      <c r="D2" s="2"/>
      <c r="E2" s="2"/>
      <c r="F2" s="2"/>
      <c r="G2" s="3"/>
    </row>
    <row r="4" ht="24.0" customHeight="1">
      <c r="B4" s="47" t="s">
        <v>492</v>
      </c>
      <c r="C4" s="2"/>
      <c r="D4" s="2"/>
      <c r="E4" s="2"/>
      <c r="F4" s="2"/>
      <c r="G4" s="3"/>
    </row>
    <row r="5">
      <c r="B5" s="54" t="s">
        <v>500</v>
      </c>
    </row>
    <row r="6" ht="21.75" customHeight="1">
      <c r="B6" s="31" t="s">
        <v>501</v>
      </c>
      <c r="C6" s="31" t="s">
        <v>502</v>
      </c>
      <c r="D6" s="31" t="s">
        <v>503</v>
      </c>
      <c r="E6" s="31" t="s">
        <v>482</v>
      </c>
      <c r="F6" s="31" t="s">
        <v>504</v>
      </c>
      <c r="G6" s="31" t="s">
        <v>505</v>
      </c>
    </row>
    <row r="7" ht="30.0" customHeight="1">
      <c r="B7" s="55">
        <v>1.0</v>
      </c>
      <c r="C7" s="56" t="s">
        <v>506</v>
      </c>
      <c r="D7" s="56" t="s">
        <v>507</v>
      </c>
      <c r="E7" s="56" t="s">
        <v>508</v>
      </c>
      <c r="F7" s="56" t="s">
        <v>509</v>
      </c>
      <c r="G7" s="18" t="s">
        <v>66</v>
      </c>
    </row>
    <row r="8" ht="30.0" customHeight="1">
      <c r="B8" s="57">
        <v>2.0</v>
      </c>
      <c r="C8" s="58" t="s">
        <v>510</v>
      </c>
      <c r="D8" s="58" t="s">
        <v>511</v>
      </c>
      <c r="E8" s="58" t="s">
        <v>512</v>
      </c>
      <c r="F8" s="58" t="s">
        <v>513</v>
      </c>
      <c r="G8" s="21" t="s">
        <v>514</v>
      </c>
    </row>
    <row r="9" ht="30.0" customHeight="1">
      <c r="B9" s="55">
        <v>3.0</v>
      </c>
      <c r="C9" s="56" t="s">
        <v>510</v>
      </c>
      <c r="D9" s="56" t="s">
        <v>515</v>
      </c>
      <c r="E9" s="56" t="s">
        <v>513</v>
      </c>
      <c r="F9" s="56" t="s">
        <v>516</v>
      </c>
      <c r="G9" s="18" t="s">
        <v>517</v>
      </c>
    </row>
    <row r="10" ht="30.0" customHeight="1">
      <c r="B10" s="57">
        <v>4.0</v>
      </c>
      <c r="C10" s="58" t="s">
        <v>510</v>
      </c>
      <c r="D10" s="58" t="s">
        <v>518</v>
      </c>
      <c r="E10" s="58" t="s">
        <v>519</v>
      </c>
      <c r="F10" s="58" t="s">
        <v>520</v>
      </c>
      <c r="G10" s="21" t="s">
        <v>66</v>
      </c>
    </row>
    <row r="11" ht="30.0" customHeight="1">
      <c r="B11" s="55">
        <v>5.0</v>
      </c>
      <c r="C11" s="56" t="s">
        <v>106</v>
      </c>
      <c r="D11" s="56" t="s">
        <v>521</v>
      </c>
      <c r="E11" s="56" t="s">
        <v>522</v>
      </c>
      <c r="F11" s="56" t="s">
        <v>523</v>
      </c>
      <c r="G11" s="18" t="s">
        <v>524</v>
      </c>
    </row>
    <row r="12" ht="30.0" customHeight="1">
      <c r="B12" s="57">
        <v>6.0</v>
      </c>
      <c r="C12" s="58" t="s">
        <v>479</v>
      </c>
      <c r="D12" s="58" t="s">
        <v>525</v>
      </c>
      <c r="E12" s="58" t="s">
        <v>526</v>
      </c>
      <c r="F12" s="58" t="s">
        <v>527</v>
      </c>
      <c r="G12" s="21" t="s">
        <v>528</v>
      </c>
    </row>
    <row r="13" ht="30.0" customHeight="1">
      <c r="B13" s="55">
        <v>7.0</v>
      </c>
      <c r="C13" s="56" t="s">
        <v>106</v>
      </c>
      <c r="D13" s="56" t="s">
        <v>529</v>
      </c>
      <c r="E13" s="56" t="s">
        <v>530</v>
      </c>
      <c r="F13" s="56" t="s">
        <v>531</v>
      </c>
      <c r="G13" s="18" t="s">
        <v>66</v>
      </c>
    </row>
    <row r="14" ht="30.0" customHeight="1">
      <c r="B14" s="57">
        <v>8.0</v>
      </c>
      <c r="C14" s="58" t="s">
        <v>106</v>
      </c>
      <c r="D14" s="58" t="s">
        <v>532</v>
      </c>
      <c r="E14" s="58" t="s">
        <v>533</v>
      </c>
      <c r="F14" s="58" t="s">
        <v>534</v>
      </c>
      <c r="G14" s="21" t="s">
        <v>66</v>
      </c>
    </row>
    <row r="15" ht="30.0" customHeight="1">
      <c r="B15" s="55">
        <v>9.0</v>
      </c>
      <c r="C15" s="56" t="s">
        <v>510</v>
      </c>
      <c r="D15" s="56" t="s">
        <v>535</v>
      </c>
      <c r="E15" s="56" t="s">
        <v>534</v>
      </c>
      <c r="F15" s="56" t="s">
        <v>536</v>
      </c>
      <c r="G15" s="18" t="s">
        <v>537</v>
      </c>
    </row>
    <row r="16" ht="30.0" customHeight="1">
      <c r="B16" s="57">
        <v>10.0</v>
      </c>
      <c r="C16" s="58" t="s">
        <v>538</v>
      </c>
      <c r="D16" s="58" t="s">
        <v>539</v>
      </c>
      <c r="E16" s="58" t="s">
        <v>540</v>
      </c>
      <c r="F16" s="58" t="s">
        <v>541</v>
      </c>
      <c r="G16" s="21" t="s">
        <v>66</v>
      </c>
    </row>
    <row r="18" ht="24.0" customHeight="1">
      <c r="B18" s="47" t="s">
        <v>493</v>
      </c>
      <c r="C18" s="2"/>
      <c r="D18" s="2"/>
      <c r="E18" s="2"/>
      <c r="F18" s="2"/>
      <c r="G18" s="3"/>
    </row>
    <row r="19">
      <c r="B19" s="54" t="s">
        <v>542</v>
      </c>
    </row>
    <row r="20" ht="21.75" customHeight="1">
      <c r="B20" s="31" t="s">
        <v>501</v>
      </c>
      <c r="C20" s="31" t="s">
        <v>502</v>
      </c>
      <c r="D20" s="31" t="s">
        <v>503</v>
      </c>
      <c r="E20" s="31" t="s">
        <v>482</v>
      </c>
      <c r="F20" s="31" t="s">
        <v>504</v>
      </c>
      <c r="G20" s="31" t="s">
        <v>505</v>
      </c>
    </row>
    <row r="21" ht="30.0" customHeight="1">
      <c r="B21" s="55">
        <v>1.0</v>
      </c>
      <c r="C21" s="56" t="s">
        <v>543</v>
      </c>
      <c r="D21" s="56" t="s">
        <v>544</v>
      </c>
      <c r="E21" s="56" t="s">
        <v>545</v>
      </c>
      <c r="F21" s="56" t="s">
        <v>546</v>
      </c>
      <c r="G21" s="18" t="s">
        <v>66</v>
      </c>
    </row>
    <row r="22" ht="30.0" customHeight="1">
      <c r="B22" s="57">
        <v>2.0</v>
      </c>
      <c r="C22" s="58" t="s">
        <v>510</v>
      </c>
      <c r="D22" s="58" t="s">
        <v>547</v>
      </c>
      <c r="E22" s="58" t="s">
        <v>548</v>
      </c>
      <c r="F22" s="58" t="s">
        <v>549</v>
      </c>
      <c r="G22" s="21" t="s">
        <v>66</v>
      </c>
    </row>
    <row r="23" ht="30.0" customHeight="1">
      <c r="B23" s="55">
        <v>3.0</v>
      </c>
      <c r="C23" s="56" t="s">
        <v>106</v>
      </c>
      <c r="D23" s="56" t="s">
        <v>550</v>
      </c>
      <c r="E23" s="56" t="s">
        <v>530</v>
      </c>
      <c r="F23" s="56" t="s">
        <v>551</v>
      </c>
      <c r="G23" s="18" t="s">
        <v>524</v>
      </c>
    </row>
    <row r="24" ht="30.0" customHeight="1">
      <c r="B24" s="57">
        <v>4.0</v>
      </c>
      <c r="C24" s="58" t="s">
        <v>106</v>
      </c>
      <c r="D24" s="58" t="s">
        <v>552</v>
      </c>
      <c r="E24" s="58" t="s">
        <v>553</v>
      </c>
      <c r="F24" s="58" t="s">
        <v>554</v>
      </c>
      <c r="G24" s="21" t="s">
        <v>66</v>
      </c>
    </row>
    <row r="25" ht="30.0" customHeight="1">
      <c r="B25" s="55">
        <v>5.0</v>
      </c>
      <c r="C25" s="56" t="s">
        <v>106</v>
      </c>
      <c r="D25" s="56" t="s">
        <v>555</v>
      </c>
      <c r="E25" s="56" t="s">
        <v>533</v>
      </c>
      <c r="F25" s="56" t="s">
        <v>556</v>
      </c>
      <c r="G25" s="18" t="s">
        <v>557</v>
      </c>
    </row>
    <row r="26" ht="30.0" customHeight="1">
      <c r="B26" s="57">
        <v>6.0</v>
      </c>
      <c r="C26" s="58" t="s">
        <v>510</v>
      </c>
      <c r="D26" s="58" t="s">
        <v>558</v>
      </c>
      <c r="E26" s="58" t="s">
        <v>534</v>
      </c>
      <c r="F26" s="58" t="s">
        <v>540</v>
      </c>
      <c r="G26" s="21" t="s">
        <v>66</v>
      </c>
    </row>
    <row r="27" ht="30.0" customHeight="1">
      <c r="B27" s="55">
        <v>7.0</v>
      </c>
      <c r="C27" s="56" t="s">
        <v>538</v>
      </c>
      <c r="D27" s="56" t="s">
        <v>559</v>
      </c>
      <c r="E27" s="56" t="s">
        <v>540</v>
      </c>
      <c r="F27" s="56" t="s">
        <v>541</v>
      </c>
      <c r="G27" s="18" t="s">
        <v>66</v>
      </c>
    </row>
    <row r="28" ht="15.75" customHeight="1"/>
    <row r="29" ht="21.75" customHeight="1">
      <c r="B29" s="59" t="s">
        <v>560</v>
      </c>
      <c r="C29" s="2"/>
      <c r="D29" s="2"/>
      <c r="E29" s="2"/>
      <c r="F29" s="2"/>
      <c r="G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B4:G4"/>
    <mergeCell ref="B5:G5"/>
    <mergeCell ref="B18:G18"/>
    <mergeCell ref="B19:G19"/>
    <mergeCell ref="B29:G29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5" width="26.0"/>
    <col customWidth="1" min="6" max="6" width="3.0"/>
    <col customWidth="1" min="7" max="26" width="8.71"/>
  </cols>
  <sheetData>
    <row r="1" ht="33.75" customHeight="1">
      <c r="A1" s="15" t="s">
        <v>561</v>
      </c>
      <c r="B1" s="2"/>
      <c r="C1" s="2"/>
      <c r="D1" s="2"/>
      <c r="E1" s="2"/>
      <c r="F1" s="3"/>
    </row>
    <row r="2" ht="19.5" customHeight="1">
      <c r="A2" s="16" t="s">
        <v>562</v>
      </c>
      <c r="B2" s="2"/>
      <c r="C2" s="2"/>
      <c r="D2" s="2"/>
      <c r="E2" s="2"/>
      <c r="F2" s="3"/>
    </row>
    <row r="4" ht="25.5" customHeight="1">
      <c r="B4" s="60" t="s">
        <v>563</v>
      </c>
      <c r="C4" s="61"/>
      <c r="D4" s="61"/>
      <c r="E4" s="62"/>
    </row>
    <row r="5" ht="21.75" customHeight="1">
      <c r="B5" s="63" t="s">
        <v>564</v>
      </c>
      <c r="C5" s="51"/>
      <c r="D5" s="63" t="s">
        <v>565</v>
      </c>
      <c r="E5" s="51"/>
    </row>
    <row r="6" ht="21.75" customHeight="1">
      <c r="B6" s="63" t="s">
        <v>566</v>
      </c>
      <c r="C6" s="51"/>
      <c r="D6" s="63" t="s">
        <v>567</v>
      </c>
      <c r="E6" s="51"/>
    </row>
    <row r="7" ht="21.75" customHeight="1">
      <c r="B7" s="63" t="s">
        <v>26</v>
      </c>
      <c r="C7" s="51"/>
      <c r="D7" s="63" t="s">
        <v>568</v>
      </c>
      <c r="E7" s="51"/>
    </row>
    <row r="8" ht="21.75" customHeight="1">
      <c r="B8" s="63" t="s">
        <v>569</v>
      </c>
      <c r="C8" s="64"/>
      <c r="D8" s="14"/>
      <c r="E8" s="30"/>
    </row>
    <row r="9" ht="21.75" customHeight="1">
      <c r="B9" s="63" t="s">
        <v>570</v>
      </c>
      <c r="C9" s="64"/>
      <c r="D9" s="14"/>
      <c r="E9" s="30"/>
    </row>
    <row r="10" ht="21.75" customHeight="1">
      <c r="B10" s="63" t="s">
        <v>571</v>
      </c>
      <c r="C10" s="51"/>
      <c r="D10" s="63" t="s">
        <v>572</v>
      </c>
      <c r="E10" s="51"/>
    </row>
    <row r="11" ht="21.75" customHeight="1">
      <c r="B11" s="63" t="s">
        <v>573</v>
      </c>
      <c r="C11" s="51"/>
      <c r="D11" s="63" t="s">
        <v>574</v>
      </c>
      <c r="E11" s="51"/>
    </row>
    <row r="13" ht="25.5" customHeight="1">
      <c r="B13" s="60" t="s">
        <v>575</v>
      </c>
      <c r="C13" s="61"/>
      <c r="D13" s="61"/>
      <c r="E13" s="62"/>
    </row>
    <row r="14" ht="21.75" customHeight="1">
      <c r="B14" s="63" t="s">
        <v>576</v>
      </c>
      <c r="C14" s="51"/>
      <c r="D14" s="63" t="s">
        <v>577</v>
      </c>
      <c r="E14" s="51"/>
    </row>
    <row r="15" ht="21.75" customHeight="1">
      <c r="B15" s="63" t="s">
        <v>578</v>
      </c>
      <c r="C15" s="51"/>
      <c r="D15" s="63" t="s">
        <v>579</v>
      </c>
      <c r="E15" s="51"/>
    </row>
    <row r="16" ht="21.75" customHeight="1">
      <c r="B16" s="63" t="s">
        <v>568</v>
      </c>
      <c r="C16" s="51"/>
      <c r="D16" s="63" t="s">
        <v>580</v>
      </c>
      <c r="E16" s="51"/>
    </row>
    <row r="17" ht="21.75" customHeight="1">
      <c r="B17" s="63" t="s">
        <v>581</v>
      </c>
      <c r="C17" s="64"/>
      <c r="D17" s="14"/>
      <c r="E17" s="30"/>
    </row>
    <row r="18" ht="21.75" customHeight="1">
      <c r="B18" s="63" t="s">
        <v>582</v>
      </c>
      <c r="C18" s="51"/>
      <c r="D18" s="63" t="s">
        <v>583</v>
      </c>
      <c r="E18" s="51"/>
    </row>
    <row r="19" ht="21.75" customHeight="1">
      <c r="B19" s="63" t="s">
        <v>584</v>
      </c>
      <c r="C19" s="51"/>
      <c r="D19" s="63" t="s">
        <v>585</v>
      </c>
      <c r="E19" s="51"/>
    </row>
    <row r="20" ht="21.75" customHeight="1">
      <c r="B20" s="63" t="s">
        <v>586</v>
      </c>
      <c r="C20" s="51"/>
      <c r="D20" s="63" t="s">
        <v>587</v>
      </c>
      <c r="E20" s="51"/>
    </row>
    <row r="21" ht="21.75" customHeight="1">
      <c r="B21" s="63" t="s">
        <v>588</v>
      </c>
      <c r="C21" s="64"/>
      <c r="D21" s="14"/>
      <c r="E21" s="30"/>
    </row>
    <row r="22" ht="21.75" customHeight="1">
      <c r="B22" s="63" t="s">
        <v>589</v>
      </c>
      <c r="C22" s="51"/>
      <c r="D22" s="63" t="s">
        <v>590</v>
      </c>
      <c r="E22" s="51"/>
    </row>
    <row r="23" ht="21.75" customHeight="1">
      <c r="B23" s="63" t="s">
        <v>591</v>
      </c>
      <c r="C23" s="51"/>
      <c r="D23" s="63" t="s">
        <v>592</v>
      </c>
      <c r="E23" s="51"/>
    </row>
    <row r="24" ht="21.75" customHeight="1">
      <c r="B24" s="63" t="s">
        <v>593</v>
      </c>
      <c r="C24" s="64"/>
      <c r="D24" s="14"/>
      <c r="E24" s="30"/>
    </row>
    <row r="25" ht="15.75" customHeight="1"/>
    <row r="26" ht="25.5" customHeight="1">
      <c r="B26" s="60" t="s">
        <v>594</v>
      </c>
      <c r="C26" s="61"/>
      <c r="D26" s="61"/>
      <c r="E26" s="62"/>
    </row>
    <row r="27" ht="19.5" customHeight="1">
      <c r="B27" s="31" t="s">
        <v>463</v>
      </c>
      <c r="C27" s="31" t="s">
        <v>595</v>
      </c>
      <c r="D27" s="31" t="s">
        <v>82</v>
      </c>
      <c r="E27" s="31" t="s">
        <v>596</v>
      </c>
    </row>
    <row r="28" ht="18.0" customHeight="1">
      <c r="B28" s="51"/>
      <c r="C28" s="51"/>
      <c r="D28" s="51"/>
      <c r="E28" s="51"/>
    </row>
    <row r="29" ht="18.0" customHeight="1">
      <c r="B29" s="65"/>
      <c r="C29" s="65"/>
      <c r="D29" s="65"/>
      <c r="E29" s="65"/>
    </row>
    <row r="30" ht="18.0" customHeight="1">
      <c r="B30" s="51"/>
      <c r="C30" s="51"/>
      <c r="D30" s="51"/>
      <c r="E30" s="51"/>
    </row>
    <row r="31" ht="18.0" customHeight="1">
      <c r="B31" s="65"/>
      <c r="C31" s="65"/>
      <c r="D31" s="65"/>
      <c r="E31" s="65"/>
    </row>
    <row r="32" ht="18.0" customHeight="1">
      <c r="B32" s="51"/>
      <c r="C32" s="51"/>
      <c r="D32" s="51"/>
      <c r="E32" s="51"/>
    </row>
    <row r="33" ht="18.0" customHeight="1">
      <c r="B33" s="65"/>
      <c r="C33" s="65"/>
      <c r="D33" s="65"/>
      <c r="E33" s="65"/>
    </row>
    <row r="34" ht="15.75" customHeight="1"/>
    <row r="35" ht="15.75" customHeight="1">
      <c r="B35" s="34" t="s">
        <v>597</v>
      </c>
    </row>
    <row r="36" ht="15.75" customHeight="1"/>
    <row r="37" ht="15.75" customHeight="1"/>
    <row r="38" ht="25.5" customHeight="1">
      <c r="B38" s="60" t="s">
        <v>598</v>
      </c>
      <c r="C38" s="61"/>
      <c r="D38" s="61"/>
      <c r="E38" s="62"/>
    </row>
    <row r="39" ht="21.75" customHeight="1">
      <c r="B39" s="63" t="s">
        <v>599</v>
      </c>
      <c r="C39" s="51"/>
      <c r="D39" s="63" t="s">
        <v>257</v>
      </c>
      <c r="E39" s="51"/>
    </row>
    <row r="40" ht="21.75" customHeight="1">
      <c r="B40" s="63" t="s">
        <v>26</v>
      </c>
      <c r="C40" s="51"/>
      <c r="D40" s="63" t="s">
        <v>600</v>
      </c>
      <c r="E40" s="51"/>
    </row>
    <row r="41" ht="21.75" customHeight="1">
      <c r="B41" s="63" t="s">
        <v>601</v>
      </c>
      <c r="C41" s="51"/>
      <c r="D41" s="63" t="s">
        <v>602</v>
      </c>
      <c r="E41" s="51"/>
    </row>
    <row r="42" ht="21.75" customHeight="1">
      <c r="B42" s="63" t="s">
        <v>603</v>
      </c>
      <c r="C42" s="51"/>
      <c r="D42" s="63" t="s">
        <v>604</v>
      </c>
      <c r="E42" s="51"/>
    </row>
    <row r="43" ht="21.75" customHeight="1">
      <c r="B43" s="63" t="s">
        <v>605</v>
      </c>
      <c r="C43" s="51"/>
      <c r="D43" s="63" t="s">
        <v>606</v>
      </c>
      <c r="E43" s="51"/>
    </row>
    <row r="44" ht="21.75" customHeight="1">
      <c r="B44" s="63" t="s">
        <v>607</v>
      </c>
      <c r="C44" s="51"/>
      <c r="D44" s="63" t="s">
        <v>608</v>
      </c>
      <c r="E44" s="51"/>
    </row>
    <row r="45" ht="21.75" customHeight="1">
      <c r="B45" s="63" t="s">
        <v>609</v>
      </c>
      <c r="C45" s="64"/>
      <c r="D45" s="14"/>
      <c r="E45" s="30"/>
    </row>
    <row r="46" ht="21.75" customHeight="1">
      <c r="B46" s="63" t="s">
        <v>610</v>
      </c>
      <c r="C46" s="64"/>
      <c r="D46" s="14"/>
      <c r="E46" s="30"/>
    </row>
    <row r="47" ht="21.75" customHeight="1">
      <c r="B47" s="63" t="s">
        <v>593</v>
      </c>
      <c r="C47" s="64"/>
      <c r="D47" s="14"/>
      <c r="E47" s="30"/>
    </row>
    <row r="48" ht="15.75" customHeight="1"/>
    <row r="49" ht="25.5" customHeight="1">
      <c r="B49" s="60" t="s">
        <v>611</v>
      </c>
      <c r="C49" s="61"/>
      <c r="D49" s="61"/>
      <c r="E49" s="62"/>
    </row>
    <row r="50" ht="21.75" customHeight="1">
      <c r="B50" s="63" t="s">
        <v>256</v>
      </c>
      <c r="C50" s="51"/>
      <c r="D50" s="63" t="s">
        <v>257</v>
      </c>
      <c r="E50" s="51"/>
    </row>
    <row r="51" ht="21.75" customHeight="1">
      <c r="B51" s="63" t="s">
        <v>258</v>
      </c>
      <c r="C51" s="51"/>
      <c r="D51" s="63" t="s">
        <v>612</v>
      </c>
      <c r="E51" s="51"/>
    </row>
    <row r="52" ht="21.75" customHeight="1">
      <c r="B52" s="63" t="s">
        <v>260</v>
      </c>
      <c r="C52" s="51"/>
      <c r="D52" s="63" t="s">
        <v>613</v>
      </c>
      <c r="E52" s="51"/>
    </row>
    <row r="53" ht="21.75" customHeight="1">
      <c r="B53" s="63" t="s">
        <v>614</v>
      </c>
      <c r="C53" s="51"/>
      <c r="D53" s="63" t="s">
        <v>263</v>
      </c>
      <c r="E53" s="51"/>
    </row>
    <row r="54" ht="21.75" customHeight="1">
      <c r="B54" s="63" t="s">
        <v>265</v>
      </c>
      <c r="C54" s="51"/>
      <c r="D54" s="63" t="s">
        <v>266</v>
      </c>
      <c r="E54" s="51"/>
    </row>
    <row r="55" ht="21.75" customHeight="1">
      <c r="B55" s="63" t="s">
        <v>615</v>
      </c>
      <c r="C55" s="51"/>
      <c r="D55" s="63" t="s">
        <v>616</v>
      </c>
      <c r="E55" s="51"/>
    </row>
    <row r="56" ht="15.75" customHeight="1"/>
    <row r="57" ht="25.5" customHeight="1">
      <c r="B57" s="60" t="s">
        <v>617</v>
      </c>
      <c r="C57" s="61"/>
      <c r="D57" s="61"/>
      <c r="E57" s="62"/>
    </row>
    <row r="58" ht="21.75" customHeight="1">
      <c r="B58" s="63" t="s">
        <v>618</v>
      </c>
      <c r="C58" s="51"/>
      <c r="D58" s="63" t="s">
        <v>463</v>
      </c>
      <c r="E58" s="51"/>
    </row>
    <row r="59" ht="21.75" customHeight="1">
      <c r="B59" s="63" t="s">
        <v>619</v>
      </c>
      <c r="C59" s="51"/>
      <c r="D59" s="63" t="s">
        <v>620</v>
      </c>
      <c r="E59" s="51"/>
    </row>
    <row r="60" ht="21.75" customHeight="1">
      <c r="B60" s="63" t="s">
        <v>621</v>
      </c>
      <c r="C60" s="64"/>
      <c r="D60" s="14"/>
      <c r="E60" s="30"/>
    </row>
    <row r="61" ht="21.75" customHeight="1">
      <c r="B61" s="63" t="s">
        <v>622</v>
      </c>
      <c r="C61" s="64"/>
      <c r="D61" s="14"/>
      <c r="E61" s="30"/>
    </row>
    <row r="62" ht="21.75" customHeight="1">
      <c r="B62" s="63" t="s">
        <v>623</v>
      </c>
      <c r="C62" s="51"/>
      <c r="D62" s="63" t="s">
        <v>624</v>
      </c>
      <c r="E62" s="51"/>
    </row>
    <row r="63" ht="21.75" customHeight="1">
      <c r="B63" s="63" t="s">
        <v>625</v>
      </c>
      <c r="C63" s="51"/>
      <c r="D63" s="63" t="s">
        <v>626</v>
      </c>
      <c r="E63" s="51"/>
    </row>
    <row r="64" ht="21.75" customHeight="1">
      <c r="B64" s="63" t="s">
        <v>592</v>
      </c>
      <c r="C64" s="51"/>
      <c r="D64" s="63" t="s">
        <v>505</v>
      </c>
      <c r="E64" s="51"/>
    </row>
    <row r="65" ht="15.75" customHeight="1"/>
    <row r="66" ht="31.5" customHeight="1">
      <c r="B66" s="52" t="s">
        <v>627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F1"/>
    <mergeCell ref="A2:F2"/>
    <mergeCell ref="B4:E4"/>
    <mergeCell ref="C8:E8"/>
    <mergeCell ref="C9:E9"/>
    <mergeCell ref="B13:E13"/>
    <mergeCell ref="C17:E17"/>
    <mergeCell ref="C47:E47"/>
    <mergeCell ref="B49:E49"/>
    <mergeCell ref="B57:E57"/>
    <mergeCell ref="C60:E60"/>
    <mergeCell ref="C61:E61"/>
    <mergeCell ref="B66:E66"/>
    <mergeCell ref="C21:E21"/>
    <mergeCell ref="C24:E24"/>
    <mergeCell ref="B26:E26"/>
    <mergeCell ref="B35:E35"/>
    <mergeCell ref="B38:E38"/>
    <mergeCell ref="C45:E45"/>
    <mergeCell ref="C46:E46"/>
  </mergeCells>
  <dataValidations>
    <dataValidation type="list" allowBlank="1" sqref="E10">
      <formula1>"Oui,Non"</formula1>
    </dataValidation>
    <dataValidation type="list" allowBlank="1" sqref="C10">
      <formula1>"Faible,Moyen,Élevé,Critique"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7" width="10.0"/>
    <col customWidth="1" min="8" max="8" width="14.0"/>
    <col customWidth="1" min="9" max="26" width="8.71"/>
  </cols>
  <sheetData>
    <row r="1" ht="33.75" customHeight="1">
      <c r="A1" s="15" t="s">
        <v>628</v>
      </c>
      <c r="B1" s="2"/>
      <c r="C1" s="2"/>
      <c r="D1" s="2"/>
      <c r="E1" s="2"/>
      <c r="F1" s="2"/>
      <c r="G1" s="2"/>
      <c r="H1" s="3"/>
    </row>
    <row r="2" ht="19.5" customHeight="1">
      <c r="A2" s="16" t="s">
        <v>629</v>
      </c>
      <c r="B2" s="2"/>
      <c r="C2" s="2"/>
      <c r="D2" s="2"/>
      <c r="E2" s="2"/>
      <c r="F2" s="2"/>
      <c r="G2" s="2"/>
      <c r="H2" s="3"/>
    </row>
    <row r="4" ht="21.75" customHeight="1">
      <c r="A4" s="47" t="s">
        <v>630</v>
      </c>
      <c r="B4" s="2"/>
      <c r="C4" s="2"/>
      <c r="D4" s="2"/>
      <c r="E4" s="2"/>
      <c r="F4" s="2"/>
      <c r="G4" s="2"/>
      <c r="H4" s="3"/>
    </row>
    <row r="5" ht="30.0" customHeight="1">
      <c r="A5" s="17" t="s">
        <v>401</v>
      </c>
      <c r="B5" s="17" t="s">
        <v>631</v>
      </c>
      <c r="C5" s="17" t="s">
        <v>632</v>
      </c>
      <c r="D5" s="17" t="s">
        <v>633</v>
      </c>
      <c r="E5" s="17" t="s">
        <v>263</v>
      </c>
      <c r="F5" s="17" t="s">
        <v>634</v>
      </c>
      <c r="G5" s="17" t="s">
        <v>83</v>
      </c>
      <c r="H5" s="17" t="s">
        <v>635</v>
      </c>
    </row>
    <row r="6">
      <c r="A6" s="18" t="s">
        <v>636</v>
      </c>
      <c r="B6" s="19" t="s">
        <v>637</v>
      </c>
      <c r="C6" s="19" t="s">
        <v>638</v>
      </c>
      <c r="D6" s="19" t="s">
        <v>639</v>
      </c>
      <c r="E6" s="18" t="s">
        <v>640</v>
      </c>
      <c r="F6" s="18" t="s">
        <v>641</v>
      </c>
      <c r="G6" s="18" t="s">
        <v>125</v>
      </c>
      <c r="H6" s="19" t="s">
        <v>642</v>
      </c>
    </row>
    <row r="7">
      <c r="A7" s="21" t="s">
        <v>643</v>
      </c>
      <c r="B7" s="22" t="s">
        <v>644</v>
      </c>
      <c r="C7" s="22" t="s">
        <v>645</v>
      </c>
      <c r="D7" s="22" t="s">
        <v>646</v>
      </c>
      <c r="E7" s="21" t="s">
        <v>640</v>
      </c>
      <c r="F7" s="21" t="s">
        <v>647</v>
      </c>
      <c r="G7" s="21" t="s">
        <v>125</v>
      </c>
      <c r="H7" s="22" t="s">
        <v>642</v>
      </c>
    </row>
    <row r="8">
      <c r="A8" s="18" t="s">
        <v>648</v>
      </c>
      <c r="B8" s="19" t="s">
        <v>649</v>
      </c>
      <c r="C8" s="19" t="s">
        <v>650</v>
      </c>
      <c r="D8" s="19" t="s">
        <v>651</v>
      </c>
      <c r="E8" s="18" t="s">
        <v>652</v>
      </c>
      <c r="F8" s="18" t="s">
        <v>653</v>
      </c>
      <c r="G8" s="18" t="s">
        <v>125</v>
      </c>
      <c r="H8" s="19" t="s">
        <v>654</v>
      </c>
    </row>
    <row r="9">
      <c r="A9" s="21" t="s">
        <v>655</v>
      </c>
      <c r="B9" s="22" t="s">
        <v>656</v>
      </c>
      <c r="C9" s="22" t="s">
        <v>657</v>
      </c>
      <c r="D9" s="22" t="s">
        <v>658</v>
      </c>
      <c r="E9" s="21" t="s">
        <v>652</v>
      </c>
      <c r="F9" s="21" t="s">
        <v>659</v>
      </c>
      <c r="G9" s="21" t="s">
        <v>125</v>
      </c>
      <c r="H9" s="22" t="s">
        <v>548</v>
      </c>
    </row>
    <row r="10">
      <c r="A10" s="18" t="s">
        <v>660</v>
      </c>
      <c r="B10" s="19" t="s">
        <v>661</v>
      </c>
      <c r="C10" s="19" t="s">
        <v>662</v>
      </c>
      <c r="D10" s="19" t="s">
        <v>663</v>
      </c>
      <c r="E10" s="18" t="s">
        <v>664</v>
      </c>
      <c r="F10" s="18" t="s">
        <v>665</v>
      </c>
      <c r="G10" s="18" t="s">
        <v>125</v>
      </c>
      <c r="H10" s="19" t="s">
        <v>519</v>
      </c>
    </row>
    <row r="11">
      <c r="A11" s="21" t="s">
        <v>666</v>
      </c>
      <c r="B11" s="22" t="s">
        <v>667</v>
      </c>
      <c r="C11" s="22" t="s">
        <v>668</v>
      </c>
      <c r="D11" s="22" t="s">
        <v>669</v>
      </c>
      <c r="E11" s="21" t="s">
        <v>519</v>
      </c>
      <c r="F11" s="21" t="s">
        <v>670</v>
      </c>
      <c r="G11" s="21" t="s">
        <v>671</v>
      </c>
      <c r="H11" s="22" t="s">
        <v>672</v>
      </c>
    </row>
    <row r="12">
      <c r="A12" s="18" t="s">
        <v>673</v>
      </c>
      <c r="B12" s="19" t="s">
        <v>674</v>
      </c>
      <c r="C12" s="19" t="s">
        <v>675</v>
      </c>
      <c r="D12" s="19" t="s">
        <v>676</v>
      </c>
      <c r="E12" s="18" t="s">
        <v>677</v>
      </c>
      <c r="F12" s="18" t="s">
        <v>678</v>
      </c>
      <c r="G12" s="18" t="s">
        <v>125</v>
      </c>
      <c r="H12" s="19" t="s">
        <v>679</v>
      </c>
    </row>
    <row r="13">
      <c r="A13" s="21" t="s">
        <v>680</v>
      </c>
      <c r="B13" s="22" t="s">
        <v>681</v>
      </c>
      <c r="C13" s="22" t="s">
        <v>682</v>
      </c>
      <c r="D13" s="22" t="s">
        <v>683</v>
      </c>
      <c r="E13" s="21" t="s">
        <v>652</v>
      </c>
      <c r="F13" s="21" t="s">
        <v>670</v>
      </c>
      <c r="G13" s="21" t="s">
        <v>125</v>
      </c>
      <c r="H13" s="22" t="s">
        <v>684</v>
      </c>
    </row>
    <row r="14">
      <c r="A14" s="18" t="s">
        <v>685</v>
      </c>
      <c r="B14" s="19" t="s">
        <v>686</v>
      </c>
      <c r="C14" s="19" t="s">
        <v>687</v>
      </c>
      <c r="D14" s="19" t="s">
        <v>688</v>
      </c>
      <c r="E14" s="18" t="s">
        <v>689</v>
      </c>
      <c r="F14" s="18" t="s">
        <v>690</v>
      </c>
      <c r="G14" s="18" t="s">
        <v>110</v>
      </c>
      <c r="H14" s="19" t="s">
        <v>691</v>
      </c>
    </row>
    <row r="16" ht="21.75" customHeight="1">
      <c r="A16" s="47" t="s">
        <v>692</v>
      </c>
      <c r="B16" s="2"/>
      <c r="C16" s="2"/>
      <c r="D16" s="2"/>
      <c r="E16" s="2"/>
      <c r="F16" s="2"/>
      <c r="G16" s="2"/>
      <c r="H16" s="3"/>
    </row>
    <row r="17" ht="21.75" customHeight="1">
      <c r="A17" s="17" t="s">
        <v>693</v>
      </c>
      <c r="B17" s="17" t="s">
        <v>87</v>
      </c>
      <c r="C17" s="17" t="s">
        <v>88</v>
      </c>
      <c r="D17" s="17" t="s">
        <v>89</v>
      </c>
      <c r="E17" s="17" t="s">
        <v>90</v>
      </c>
      <c r="F17" s="17" t="s">
        <v>91</v>
      </c>
      <c r="G17" s="17" t="s">
        <v>92</v>
      </c>
      <c r="H17" s="17" t="s">
        <v>263</v>
      </c>
    </row>
    <row r="18">
      <c r="A18" s="19" t="s">
        <v>694</v>
      </c>
      <c r="B18" s="66">
        <v>640.0</v>
      </c>
      <c r="C18" s="66">
        <v>640.0</v>
      </c>
      <c r="D18" s="66">
        <v>660.0</v>
      </c>
      <c r="E18" s="66">
        <v>660.0</v>
      </c>
      <c r="F18" s="66">
        <v>680.0</v>
      </c>
      <c r="G18" s="66">
        <v>680.0</v>
      </c>
      <c r="H18" s="18" t="s">
        <v>640</v>
      </c>
    </row>
    <row r="19">
      <c r="A19" s="19" t="s">
        <v>695</v>
      </c>
      <c r="B19" s="66">
        <v>3.0</v>
      </c>
      <c r="C19" s="66">
        <v>2.0</v>
      </c>
      <c r="D19" s="66">
        <v>2.0</v>
      </c>
      <c r="E19" s="66">
        <v>1.0</v>
      </c>
      <c r="F19" s="66">
        <v>2.0</v>
      </c>
      <c r="G19" s="66">
        <v>1.0</v>
      </c>
      <c r="H19" s="18" t="s">
        <v>689</v>
      </c>
    </row>
    <row r="20">
      <c r="A20" s="19" t="s">
        <v>696</v>
      </c>
      <c r="B20" s="66">
        <v>11.0</v>
      </c>
      <c r="C20" s="66">
        <v>7.0</v>
      </c>
      <c r="D20" s="66">
        <v>8.0</v>
      </c>
      <c r="E20" s="66">
        <v>3.0</v>
      </c>
      <c r="F20" s="66">
        <v>7.0</v>
      </c>
      <c r="G20" s="66">
        <v>4.0</v>
      </c>
      <c r="H20" s="18" t="s">
        <v>640</v>
      </c>
    </row>
    <row r="21" ht="15.75" customHeight="1">
      <c r="A21" s="19" t="s">
        <v>697</v>
      </c>
      <c r="B21" s="66">
        <v>24.0</v>
      </c>
      <c r="C21" s="66">
        <v>22.0</v>
      </c>
      <c r="D21" s="66">
        <v>24.0</v>
      </c>
      <c r="E21" s="66">
        <v>23.0</v>
      </c>
      <c r="F21" s="66">
        <v>25.0</v>
      </c>
      <c r="G21" s="66">
        <v>24.0</v>
      </c>
      <c r="H21" s="18" t="s">
        <v>689</v>
      </c>
    </row>
    <row r="22" ht="15.75" customHeight="1">
      <c r="A22" s="19" t="s">
        <v>698</v>
      </c>
      <c r="B22" s="66">
        <v>21.0</v>
      </c>
      <c r="C22" s="66">
        <v>20.0</v>
      </c>
      <c r="D22" s="66">
        <v>23.0</v>
      </c>
      <c r="E22" s="66">
        <v>22.0</v>
      </c>
      <c r="F22" s="66">
        <v>24.0</v>
      </c>
      <c r="G22" s="66">
        <v>24.0</v>
      </c>
      <c r="H22" s="18" t="s">
        <v>689</v>
      </c>
    </row>
    <row r="23" ht="15.75" customHeight="1">
      <c r="A23" s="19" t="s">
        <v>642</v>
      </c>
      <c r="B23" s="66">
        <v>3.0</v>
      </c>
      <c r="C23" s="66">
        <v>2.0</v>
      </c>
      <c r="D23" s="66">
        <v>2.0</v>
      </c>
      <c r="E23" s="66">
        <v>1.0</v>
      </c>
      <c r="F23" s="66">
        <v>2.0</v>
      </c>
      <c r="G23" s="66">
        <v>1.0</v>
      </c>
      <c r="H23" s="18" t="s">
        <v>689</v>
      </c>
    </row>
    <row r="24" ht="15.75" customHeight="1">
      <c r="A24" s="19" t="s">
        <v>699</v>
      </c>
      <c r="B24" s="67">
        <v>2400.0</v>
      </c>
      <c r="C24" s="67">
        <v>1800.0</v>
      </c>
      <c r="D24" s="67">
        <v>2100.0</v>
      </c>
      <c r="E24" s="67">
        <v>900.0</v>
      </c>
      <c r="F24" s="67">
        <v>1700.0</v>
      </c>
      <c r="G24" s="67">
        <v>1200.0</v>
      </c>
      <c r="H24" s="18" t="s">
        <v>677</v>
      </c>
    </row>
    <row r="25" ht="15.75" customHeight="1">
      <c r="A25" s="19" t="s">
        <v>700</v>
      </c>
      <c r="B25" s="66">
        <v>1.0</v>
      </c>
      <c r="C25" s="66">
        <v>1.0</v>
      </c>
      <c r="D25" s="66">
        <v>0.0</v>
      </c>
      <c r="E25" s="66">
        <v>0.0</v>
      </c>
      <c r="F25" s="66">
        <v>1.0</v>
      </c>
      <c r="G25" s="66">
        <v>0.0</v>
      </c>
      <c r="H25" s="18" t="s">
        <v>689</v>
      </c>
    </row>
    <row r="26" ht="15.75" customHeight="1"/>
    <row r="27" ht="21.75" customHeight="1">
      <c r="A27" s="47" t="s">
        <v>701</v>
      </c>
      <c r="B27" s="2"/>
      <c r="C27" s="2"/>
      <c r="D27" s="2"/>
      <c r="E27" s="2"/>
      <c r="F27" s="2"/>
      <c r="G27" s="2"/>
      <c r="H27" s="3"/>
    </row>
    <row r="28" ht="21.75" customHeight="1">
      <c r="A28" s="17" t="s">
        <v>702</v>
      </c>
      <c r="B28" s="17" t="s">
        <v>87</v>
      </c>
      <c r="C28" s="17" t="s">
        <v>88</v>
      </c>
      <c r="D28" s="17" t="s">
        <v>89</v>
      </c>
      <c r="E28" s="17" t="s">
        <v>90</v>
      </c>
      <c r="F28" s="17" t="s">
        <v>91</v>
      </c>
      <c r="G28" s="17" t="s">
        <v>92</v>
      </c>
      <c r="H28" s="17" t="s">
        <v>634</v>
      </c>
    </row>
    <row r="29" ht="15.75" customHeight="1">
      <c r="A29" s="68" t="s">
        <v>703</v>
      </c>
      <c r="B29" s="69">
        <f t="shared" ref="B29:G29" si="1">IFERROR(B18/B19,0)</f>
        <v>213.3333333</v>
      </c>
      <c r="C29" s="69">
        <f t="shared" si="1"/>
        <v>320</v>
      </c>
      <c r="D29" s="69">
        <f t="shared" si="1"/>
        <v>330</v>
      </c>
      <c r="E29" s="69">
        <f t="shared" si="1"/>
        <v>660</v>
      </c>
      <c r="F29" s="69">
        <f t="shared" si="1"/>
        <v>340</v>
      </c>
      <c r="G29" s="69">
        <f t="shared" si="1"/>
        <v>680</v>
      </c>
      <c r="H29" s="55" t="s">
        <v>641</v>
      </c>
    </row>
    <row r="30" ht="15.75" customHeight="1">
      <c r="A30" s="70" t="s">
        <v>704</v>
      </c>
      <c r="B30" s="71">
        <f t="shared" ref="B30:G30" si="2">IFERROR(B20/B19,0)</f>
        <v>3.666666667</v>
      </c>
      <c r="C30" s="71">
        <f t="shared" si="2"/>
        <v>3.5</v>
      </c>
      <c r="D30" s="71">
        <f t="shared" si="2"/>
        <v>4</v>
      </c>
      <c r="E30" s="71">
        <f t="shared" si="2"/>
        <v>3</v>
      </c>
      <c r="F30" s="71">
        <f t="shared" si="2"/>
        <v>3.5</v>
      </c>
      <c r="G30" s="71">
        <f t="shared" si="2"/>
        <v>4</v>
      </c>
      <c r="H30" s="57" t="s">
        <v>647</v>
      </c>
    </row>
    <row r="31" ht="15.75" customHeight="1">
      <c r="A31" s="68" t="s">
        <v>705</v>
      </c>
      <c r="B31" s="72">
        <f t="shared" ref="B31:G31" si="3">IFERROR(B29/(B29+B30),0)</f>
        <v>0.9831029186</v>
      </c>
      <c r="C31" s="72">
        <f t="shared" si="3"/>
        <v>0.9891808346</v>
      </c>
      <c r="D31" s="72">
        <f t="shared" si="3"/>
        <v>0.9880239521</v>
      </c>
      <c r="E31" s="72">
        <f t="shared" si="3"/>
        <v>0.9954751131</v>
      </c>
      <c r="F31" s="72">
        <f t="shared" si="3"/>
        <v>0.9898107715</v>
      </c>
      <c r="G31" s="72">
        <f t="shared" si="3"/>
        <v>0.9941520468</v>
      </c>
      <c r="H31" s="55" t="s">
        <v>706</v>
      </c>
    </row>
    <row r="32" ht="15.75" customHeight="1">
      <c r="A32" s="70" t="s">
        <v>707</v>
      </c>
      <c r="B32" s="73">
        <f t="shared" ref="B32:G32" si="4">IFERROR(B22/B21,0)</f>
        <v>0.875</v>
      </c>
      <c r="C32" s="73">
        <f t="shared" si="4"/>
        <v>0.9090909091</v>
      </c>
      <c r="D32" s="73">
        <f t="shared" si="4"/>
        <v>0.9583333333</v>
      </c>
      <c r="E32" s="73">
        <f t="shared" si="4"/>
        <v>0.9565217391</v>
      </c>
      <c r="F32" s="73">
        <f t="shared" si="4"/>
        <v>0.96</v>
      </c>
      <c r="G32" s="73">
        <f t="shared" si="4"/>
        <v>1</v>
      </c>
      <c r="H32" s="57" t="s">
        <v>708</v>
      </c>
    </row>
    <row r="33" ht="15.75" customHeight="1">
      <c r="A33" s="68" t="s">
        <v>709</v>
      </c>
      <c r="B33" s="25">
        <f t="shared" ref="B33:G33" si="5">IFERROR(B22/B23,0)</f>
        <v>7</v>
      </c>
      <c r="C33" s="25">
        <f t="shared" si="5"/>
        <v>10</v>
      </c>
      <c r="D33" s="25">
        <f t="shared" si="5"/>
        <v>11.5</v>
      </c>
      <c r="E33" s="25">
        <f t="shared" si="5"/>
        <v>22</v>
      </c>
      <c r="F33" s="25">
        <f t="shared" si="5"/>
        <v>12</v>
      </c>
      <c r="G33" s="25">
        <f t="shared" si="5"/>
        <v>24</v>
      </c>
      <c r="H33" s="55" t="s">
        <v>665</v>
      </c>
    </row>
    <row r="34" ht="15.75" customHeight="1"/>
    <row r="35" ht="21.75" customHeight="1">
      <c r="A35" s="47" t="s">
        <v>710</v>
      </c>
      <c r="B35" s="2"/>
      <c r="C35" s="2"/>
      <c r="D35" s="2"/>
      <c r="E35" s="2"/>
      <c r="F35" s="2"/>
      <c r="G35" s="2"/>
      <c r="H35" s="3"/>
    </row>
    <row r="36" ht="30.0" customHeight="1">
      <c r="A36" s="17" t="s">
        <v>401</v>
      </c>
      <c r="B36" s="17" t="s">
        <v>711</v>
      </c>
      <c r="C36" s="17" t="s">
        <v>712</v>
      </c>
      <c r="D36" s="17" t="s">
        <v>713</v>
      </c>
      <c r="E36" s="17" t="s">
        <v>714</v>
      </c>
      <c r="F36" s="17" t="s">
        <v>715</v>
      </c>
      <c r="G36" s="17" t="s">
        <v>716</v>
      </c>
      <c r="H36" s="17" t="s">
        <v>717</v>
      </c>
    </row>
    <row r="37" ht="30.0" customHeight="1">
      <c r="A37" s="18" t="s">
        <v>718</v>
      </c>
      <c r="B37" s="19" t="s">
        <v>719</v>
      </c>
      <c r="C37" s="19" t="s">
        <v>720</v>
      </c>
      <c r="D37" s="19" t="s">
        <v>721</v>
      </c>
      <c r="E37" s="19" t="s">
        <v>722</v>
      </c>
      <c r="F37" s="18" t="s">
        <v>125</v>
      </c>
      <c r="G37" s="19" t="s">
        <v>723</v>
      </c>
      <c r="H37" s="19" t="s">
        <v>724</v>
      </c>
    </row>
    <row r="38" ht="30.0" customHeight="1">
      <c r="A38" s="21" t="s">
        <v>725</v>
      </c>
      <c r="B38" s="22" t="s">
        <v>726</v>
      </c>
      <c r="C38" s="22" t="s">
        <v>720</v>
      </c>
      <c r="D38" s="22" t="s">
        <v>727</v>
      </c>
      <c r="E38" s="22" t="s">
        <v>728</v>
      </c>
      <c r="F38" s="21" t="s">
        <v>729</v>
      </c>
      <c r="G38" s="22" t="s">
        <v>730</v>
      </c>
      <c r="H38" s="22" t="s">
        <v>731</v>
      </c>
    </row>
    <row r="39" ht="30.0" customHeight="1">
      <c r="A39" s="18" t="s">
        <v>732</v>
      </c>
      <c r="B39" s="19" t="s">
        <v>733</v>
      </c>
      <c r="C39" s="19" t="s">
        <v>734</v>
      </c>
      <c r="D39" s="19" t="s">
        <v>735</v>
      </c>
      <c r="E39" s="19" t="s">
        <v>736</v>
      </c>
      <c r="F39" s="18" t="s">
        <v>737</v>
      </c>
      <c r="G39" s="19" t="s">
        <v>738</v>
      </c>
      <c r="H39" s="19" t="s">
        <v>739</v>
      </c>
    </row>
    <row r="40" ht="30.0" customHeight="1">
      <c r="A40" s="21" t="s">
        <v>740</v>
      </c>
      <c r="B40" s="22" t="s">
        <v>741</v>
      </c>
      <c r="C40" s="22" t="s">
        <v>720</v>
      </c>
      <c r="D40" s="22" t="s">
        <v>742</v>
      </c>
      <c r="E40" s="22" t="s">
        <v>743</v>
      </c>
      <c r="F40" s="21" t="s">
        <v>125</v>
      </c>
      <c r="G40" s="22" t="s">
        <v>744</v>
      </c>
      <c r="H40" s="22" t="s">
        <v>745</v>
      </c>
    </row>
    <row r="41" ht="30.0" customHeight="1">
      <c r="A41" s="18" t="s">
        <v>746</v>
      </c>
      <c r="B41" s="19" t="s">
        <v>747</v>
      </c>
      <c r="C41" s="19" t="s">
        <v>748</v>
      </c>
      <c r="D41" s="19" t="s">
        <v>749</v>
      </c>
      <c r="E41" s="19" t="s">
        <v>750</v>
      </c>
      <c r="F41" s="18" t="s">
        <v>125</v>
      </c>
      <c r="G41" s="19" t="s">
        <v>751</v>
      </c>
      <c r="H41" s="19" t="s">
        <v>752</v>
      </c>
    </row>
    <row r="42" ht="30.0" customHeight="1">
      <c r="A42" s="21" t="s">
        <v>753</v>
      </c>
      <c r="B42" s="22" t="s">
        <v>754</v>
      </c>
      <c r="C42" s="22" t="s">
        <v>755</v>
      </c>
      <c r="D42" s="22" t="s">
        <v>756</v>
      </c>
      <c r="E42" s="22" t="s">
        <v>757</v>
      </c>
      <c r="F42" s="21" t="s">
        <v>104</v>
      </c>
      <c r="G42" s="22" t="s">
        <v>758</v>
      </c>
      <c r="H42" s="22" t="s">
        <v>759</v>
      </c>
    </row>
    <row r="43" ht="30.0" customHeight="1">
      <c r="A43" s="18" t="s">
        <v>760</v>
      </c>
      <c r="B43" s="19" t="s">
        <v>761</v>
      </c>
      <c r="C43" s="19" t="s">
        <v>748</v>
      </c>
      <c r="D43" s="19" t="s">
        <v>762</v>
      </c>
      <c r="E43" s="19" t="s">
        <v>763</v>
      </c>
      <c r="F43" s="18" t="s">
        <v>764</v>
      </c>
      <c r="G43" s="19" t="s">
        <v>765</v>
      </c>
      <c r="H43" s="19" t="s">
        <v>766</v>
      </c>
    </row>
    <row r="44" ht="30.0" customHeight="1">
      <c r="A44" s="21" t="s">
        <v>767</v>
      </c>
      <c r="B44" s="22" t="s">
        <v>768</v>
      </c>
      <c r="C44" s="22" t="s">
        <v>769</v>
      </c>
      <c r="D44" s="22" t="s">
        <v>770</v>
      </c>
      <c r="E44" s="22" t="s">
        <v>771</v>
      </c>
      <c r="F44" s="21" t="s">
        <v>110</v>
      </c>
      <c r="G44" s="22" t="s">
        <v>772</v>
      </c>
      <c r="H44" s="22" t="s">
        <v>773</v>
      </c>
    </row>
    <row r="45" ht="30.0" customHeight="1">
      <c r="A45" s="18" t="s">
        <v>774</v>
      </c>
      <c r="B45" s="19" t="s">
        <v>775</v>
      </c>
      <c r="C45" s="19" t="s">
        <v>720</v>
      </c>
      <c r="D45" s="19" t="s">
        <v>776</v>
      </c>
      <c r="E45" s="19" t="s">
        <v>777</v>
      </c>
      <c r="F45" s="18" t="s">
        <v>125</v>
      </c>
      <c r="G45" s="19" t="s">
        <v>778</v>
      </c>
      <c r="H45" s="19" t="s">
        <v>779</v>
      </c>
    </row>
    <row r="46" ht="15.75" customHeight="1"/>
    <row r="47" ht="27.75" customHeight="1">
      <c r="A47" s="52" t="s">
        <v>780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4:H4"/>
    <mergeCell ref="A16:H16"/>
    <mergeCell ref="A27:H27"/>
    <mergeCell ref="A35:H35"/>
    <mergeCell ref="A47:H47"/>
  </mergeCells>
  <conditionalFormatting sqref="B31:G31">
    <cfRule type="cellIs" dxfId="4" priority="1" operator="greaterThanOrEqual">
      <formula>0.95</formula>
    </cfRule>
  </conditionalFormatting>
  <conditionalFormatting sqref="B31:G31">
    <cfRule type="cellIs" dxfId="3" priority="2" operator="lessThan">
      <formula>0.95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1.0"/>
    <col customWidth="1" min="3" max="3" width="15.0"/>
    <col customWidth="1" min="4" max="5" width="14.0"/>
    <col customWidth="1" min="6" max="6" width="17.0"/>
    <col customWidth="1" min="7" max="7" width="13.0"/>
    <col customWidth="1" min="8" max="8" width="14.0"/>
    <col customWidth="1" min="9" max="26" width="8.71"/>
  </cols>
  <sheetData>
    <row r="1" ht="33.75" customHeight="1">
      <c r="A1" s="15" t="s">
        <v>781</v>
      </c>
      <c r="B1" s="2"/>
      <c r="C1" s="2"/>
      <c r="D1" s="2"/>
      <c r="E1" s="2"/>
      <c r="F1" s="2"/>
      <c r="G1" s="2"/>
      <c r="H1" s="3"/>
    </row>
    <row r="2" ht="19.5" customHeight="1">
      <c r="A2" s="16" t="s">
        <v>782</v>
      </c>
      <c r="B2" s="2"/>
      <c r="C2" s="2"/>
      <c r="D2" s="2"/>
      <c r="E2" s="2"/>
      <c r="F2" s="2"/>
      <c r="G2" s="2"/>
      <c r="H2" s="3"/>
    </row>
    <row r="4" ht="21.75" customHeight="1">
      <c r="A4" s="47" t="s">
        <v>783</v>
      </c>
      <c r="B4" s="2"/>
      <c r="C4" s="2"/>
      <c r="D4" s="2"/>
      <c r="E4" s="2"/>
      <c r="F4" s="2"/>
      <c r="G4" s="2"/>
      <c r="H4" s="3"/>
    </row>
    <row r="5" ht="30.0" customHeight="1">
      <c r="A5" s="17" t="s">
        <v>26</v>
      </c>
      <c r="B5" s="17" t="s">
        <v>784</v>
      </c>
      <c r="C5" s="17" t="s">
        <v>785</v>
      </c>
      <c r="D5" s="17" t="s">
        <v>548</v>
      </c>
      <c r="E5" s="17" t="s">
        <v>642</v>
      </c>
      <c r="F5" s="17" t="s">
        <v>786</v>
      </c>
      <c r="G5" s="17" t="s">
        <v>787</v>
      </c>
      <c r="H5" s="17" t="s">
        <v>649</v>
      </c>
    </row>
    <row r="6">
      <c r="A6" s="19" t="s">
        <v>31</v>
      </c>
      <c r="B6" s="18">
        <v>3.0</v>
      </c>
      <c r="C6" s="18">
        <v>0.0</v>
      </c>
      <c r="D6" s="18">
        <v>46.0</v>
      </c>
      <c r="E6" s="18">
        <v>4.0</v>
      </c>
      <c r="F6" s="18">
        <v>38.0</v>
      </c>
      <c r="G6" s="42">
        <v>3200.0</v>
      </c>
      <c r="H6" s="72">
        <v>0.982</v>
      </c>
    </row>
    <row r="7">
      <c r="A7" s="22" t="s">
        <v>43</v>
      </c>
      <c r="B7" s="21">
        <v>2.0</v>
      </c>
      <c r="C7" s="21">
        <v>1.0</v>
      </c>
      <c r="D7" s="21">
        <v>62.0</v>
      </c>
      <c r="E7" s="21">
        <v>5.0</v>
      </c>
      <c r="F7" s="21">
        <v>51.0</v>
      </c>
      <c r="G7" s="43">
        <v>6400.0</v>
      </c>
      <c r="H7" s="72">
        <v>0.961</v>
      </c>
    </row>
    <row r="8">
      <c r="A8" s="19" t="s">
        <v>51</v>
      </c>
      <c r="B8" s="18">
        <v>2.0</v>
      </c>
      <c r="C8" s="18">
        <v>2.0</v>
      </c>
      <c r="D8" s="18">
        <v>44.0</v>
      </c>
      <c r="E8" s="18">
        <v>3.0</v>
      </c>
      <c r="F8" s="18">
        <v>47.0</v>
      </c>
      <c r="G8" s="42">
        <v>5100.0</v>
      </c>
      <c r="H8" s="72">
        <v>0.958</v>
      </c>
    </row>
    <row r="9">
      <c r="A9" s="22" t="s">
        <v>58</v>
      </c>
      <c r="B9" s="21">
        <v>2.0</v>
      </c>
      <c r="C9" s="21">
        <v>0.0</v>
      </c>
      <c r="D9" s="21">
        <v>14.0</v>
      </c>
      <c r="E9" s="21">
        <v>1.0</v>
      </c>
      <c r="F9" s="21">
        <v>9.0</v>
      </c>
      <c r="G9" s="43">
        <v>700.0</v>
      </c>
      <c r="H9" s="72">
        <v>0.994</v>
      </c>
    </row>
    <row r="10">
      <c r="A10" s="19" t="s">
        <v>65</v>
      </c>
      <c r="B10" s="18">
        <v>2.0</v>
      </c>
      <c r="C10" s="18">
        <v>0.0</v>
      </c>
      <c r="D10" s="18">
        <v>22.0</v>
      </c>
      <c r="E10" s="18">
        <v>2.0</v>
      </c>
      <c r="F10" s="18">
        <v>16.0</v>
      </c>
      <c r="G10" s="42">
        <v>1500.0</v>
      </c>
      <c r="H10" s="72">
        <v>0.977</v>
      </c>
    </row>
    <row r="11">
      <c r="A11" s="22" t="s">
        <v>71</v>
      </c>
      <c r="B11" s="21">
        <v>1.0</v>
      </c>
      <c r="C11" s="21">
        <v>0.0</v>
      </c>
      <c r="D11" s="21">
        <v>13.0</v>
      </c>
      <c r="E11" s="21">
        <v>1.0</v>
      </c>
      <c r="F11" s="21">
        <v>8.0</v>
      </c>
      <c r="G11" s="43">
        <v>600.0</v>
      </c>
      <c r="H11" s="72">
        <v>0.988</v>
      </c>
    </row>
    <row r="12">
      <c r="A12" s="19" t="s">
        <v>75</v>
      </c>
      <c r="B12" s="18">
        <v>2.0</v>
      </c>
      <c r="C12" s="18">
        <v>2.0</v>
      </c>
      <c r="D12" s="18">
        <v>30.0</v>
      </c>
      <c r="E12" s="18">
        <v>2.0</v>
      </c>
      <c r="F12" s="18">
        <v>21.0</v>
      </c>
      <c r="G12" s="42">
        <v>2200.0</v>
      </c>
      <c r="H12" s="72">
        <v>0.971</v>
      </c>
    </row>
    <row r="13">
      <c r="A13" s="31" t="s">
        <v>192</v>
      </c>
      <c r="B13" s="31">
        <f t="shared" ref="B13:G13" si="1">SUM(B6:B12)</f>
        <v>14</v>
      </c>
      <c r="C13" s="31">
        <f t="shared" si="1"/>
        <v>5</v>
      </c>
      <c r="D13" s="31">
        <f t="shared" si="1"/>
        <v>231</v>
      </c>
      <c r="E13" s="31">
        <f t="shared" si="1"/>
        <v>18</v>
      </c>
      <c r="F13" s="31">
        <f t="shared" si="1"/>
        <v>190</v>
      </c>
      <c r="G13" s="74">
        <f t="shared" si="1"/>
        <v>19700</v>
      </c>
      <c r="H13" s="75">
        <f>AVERAGE(H6:H12)</f>
        <v>0.9758571429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4:H4"/>
  </mergeCells>
  <conditionalFormatting sqref="H6:H12">
    <cfRule type="cellIs" dxfId="3" priority="1" operator="lessThan">
      <formula>0.97</formula>
    </cfRule>
  </conditionalFormatting>
  <conditionalFormatting sqref="H6:H12">
    <cfRule type="cellIs" dxfId="4" priority="2" operator="greaterThanOrEqual">
      <formula>0.97</formula>
    </cfRule>
  </conditionalFormatting>
  <printOptions/>
  <pageMargins bottom="1.0" footer="0.0" header="0.0" left="0.75" right="0.75" top="1.0"/>
  <pageSetup paperSize="9" orientation="portrait"/>
  <drawing r:id="rId1"/>
</worksheet>
</file>